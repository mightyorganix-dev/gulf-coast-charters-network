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Annual_PnL" sheetId="3" state="visible" r:id="rId3"/>
    <sheet name="Monthly_Y1" sheetId="4" state="visible" r:id="rId4"/>
    <sheet name="Unit_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"/>
    <numFmt numFmtId="166" formatCode="&quot;$&quot;#,##0.00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1B3A4B"/>
      <sz val="14"/>
    </font>
    <font>
      <name val="Calibri"/>
      <b val="1"/>
      <color rgb="00FFFFFF"/>
      <sz val="11"/>
    </font>
    <font>
      <b val="1"/>
    </font>
    <font>
      <b val="1"/>
      <sz val="9"/>
    </font>
    <font>
      <b val="1"/>
      <sz val="12"/>
    </font>
    <font>
      <b val="1"/>
      <color rgb="001B3A4B"/>
      <sz val="16"/>
    </font>
  </fonts>
  <fills count="7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FF3CD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4" fontId="0" fillId="4" borderId="1" pivotButton="0" quotePrefix="0" xfId="0"/>
    <xf numFmtId="166" fontId="0" fillId="3" borderId="1" pivotButton="0" quotePrefix="0" xfId="0"/>
    <xf numFmtId="0" fontId="0" fillId="4" borderId="0" pivotButton="0" quotePrefix="0" xfId="0"/>
    <xf numFmtId="0" fontId="2" fillId="2" borderId="0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4" borderId="1" pivotButton="0" quotePrefix="0" xfId="0"/>
    <xf numFmtId="0" fontId="0" fillId="0" borderId="1" pivotButton="0" quotePrefix="0" xfId="0"/>
    <xf numFmtId="3" fontId="0" fillId="5" borderId="1" pivotButton="0" quotePrefix="0" xfId="0"/>
    <xf numFmtId="3" fontId="0" fillId="6" borderId="1" pivotButton="0" quotePrefix="0" xfId="0"/>
    <xf numFmtId="3" fontId="0" fillId="4" borderId="1" pivotButton="0" quotePrefix="0" xfId="0"/>
    <xf numFmtId="165" fontId="0" fillId="5" borderId="1" pivotButton="0" quotePrefix="0" xfId="0"/>
    <xf numFmtId="165" fontId="0" fillId="6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5" fillId="0" borderId="0" pivotButton="0" quotePrefix="0" xfId="0"/>
    <xf numFmtId="167" fontId="0" fillId="4" borderId="1" pivotButton="0" quotePrefix="0" xfId="0"/>
    <xf numFmtId="164" fontId="0" fillId="4" borderId="0" pivotButton="0" quotePrefix="0" xfId="0"/>
    <xf numFmtId="167" fontId="3" fillId="4" borderId="0" pivotButton="0" quotePrefix="0" xfId="0"/>
    <xf numFmtId="165" fontId="3" fillId="4" borderId="0" pivotButton="0" quotePrefix="0" xfId="0"/>
    <xf numFmtId="166" fontId="0" fillId="4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GCCN_5YR_Financial_Model.xlsx</t>
        </is>
      </c>
    </row>
    <row r="3">
      <c r="A3" s="2" t="inlineStr">
        <is>
          <t>Sheets</t>
        </is>
      </c>
    </row>
    <row r="4">
      <c r="A4" t="inlineStr">
        <is>
          <t>Assumptions — yellow INPUTS; C5 scenario toggle</t>
        </is>
      </c>
    </row>
    <row r="5">
      <c r="A5" t="inlineStr">
        <is>
          <t>Annual_PnL — Y1–Y5 × Cons/Base/Upside + selected summary</t>
        </is>
      </c>
    </row>
    <row r="6">
      <c r="A6" t="inlineStr">
        <is>
          <t>Monthly_Y1 — seasonality × Y1</t>
        </is>
      </c>
    </row>
    <row r="7">
      <c r="A7" t="inlineStr">
        <is>
          <t>Unit_Economics — per-booking contribution</t>
        </is>
      </c>
    </row>
    <row r="9">
      <c r="A9" t="inlineStr">
        <is>
          <t>Recommended model: asset-light marketplace ~12% Base (+~1.5pts owned/sister) take on GMV via owned Stripe; OTAs optional Channels only.</t>
        </is>
      </c>
    </row>
    <row r="11">
      <c r="A11" t="inlineStr">
        <is>
          <t>Disclaimer: Sourced tourism = context only. Bookings/AOV/CAC/OpEx/take = ASSUMPTIONS. Pre-tax. Not investment advice.</t>
        </is>
      </c>
    </row>
    <row r="13">
      <c r="A13" t="inlineStr">
        <is>
          <t>Companion: ../BUSINESS_PLAN_5YR.md | ../MARKETING_AND_SCALE.md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8" customWidth="1" min="1" max="1"/>
    <col width="46" customWidth="1" min="2" max="2"/>
    <col width="14" customWidth="1" min="3" max="3"/>
    <col width="37" customWidth="1" min="4" max="4"/>
    <col width="10" customWidth="1" min="5" max="5"/>
    <col width="52" customWidth="1" min="6" max="6"/>
  </cols>
  <sheetData>
    <row r="1">
      <c r="A1" s="3" t="inlineStr">
        <is>
          <t>GCCN 5-Year Financial Model — ASSUMPTIONS</t>
        </is>
      </c>
    </row>
    <row r="2" ht="40" customHeight="1">
      <c r="A2" s="4" t="inlineStr">
        <is>
          <t>Yellow=INPUT. Tourism figures SOURCED for context only (NOT GCCN capture). Volumes/rates/costs=ASSUMPTIONS. Pre-tax USD. Stripe on PLATFORM FEE SLICE when U8=1.</t>
        </is>
      </c>
    </row>
    <row r="3"/>
    <row r="4">
      <c r="A4" s="5" t="inlineStr">
        <is>
          <t>ID</t>
        </is>
      </c>
      <c r="B4" s="5" t="inlineStr">
        <is>
          <t>Parameter</t>
        </is>
      </c>
      <c r="C4" s="5" t="inlineStr">
        <is>
          <t>Conservative</t>
        </is>
      </c>
      <c r="D4" s="5" t="inlineStr">
        <is>
          <t>Base</t>
        </is>
      </c>
      <c r="E4" s="5" t="inlineStr">
        <is>
          <t>Upside</t>
        </is>
      </c>
      <c r="F4" s="5" t="inlineStr">
        <is>
          <t>Notes / Source</t>
        </is>
      </c>
    </row>
    <row r="5">
      <c r="A5" t="inlineStr">
        <is>
          <t>SCENARIO_TOGGLE</t>
        </is>
      </c>
      <c r="B5" t="inlineStr">
        <is>
          <t>Active scenario for Annual_PnL Selected summary</t>
        </is>
      </c>
      <c r="C5" s="6" t="inlineStr">
        <is>
          <t>Base</t>
        </is>
      </c>
      <c r="D5" t="inlineStr">
        <is>
          <t>INPUT: Conservative | Base | Upside</t>
        </is>
      </c>
    </row>
    <row r="6">
      <c r="A6" t="inlineStr">
        <is>
          <t>M1</t>
        </is>
      </c>
      <c r="B6" t="inlineStr">
        <is>
          <t>Beach visitors 2024 (GSOB+FM) context</t>
        </is>
      </c>
      <c r="C6" s="7" t="n">
        <v>6490000</v>
      </c>
      <c r="D6" s="7" t="n">
        <v>6490000</v>
      </c>
      <c r="E6" s="7" t="n">
        <v>6490000</v>
      </c>
      <c r="F6" t="inlineStr">
        <is>
          <t>SOURCED Deravi/GSOBT ~6.49M — NOT capture</t>
        </is>
      </c>
    </row>
    <row r="7">
      <c r="A7" t="inlineStr">
        <is>
          <t>M2</t>
        </is>
      </c>
      <c r="B7" t="inlineStr">
        <is>
          <t>Beach visitors 2025 (GSOB+FM) context</t>
        </is>
      </c>
      <c r="C7" s="7" t="n">
        <v>7140000</v>
      </c>
      <c r="D7" s="7" t="n">
        <v>7140000</v>
      </c>
      <c r="E7" s="7" t="n">
        <v>7140000</v>
      </c>
      <c r="F7" t="inlineStr">
        <is>
          <t>SOURCED GSOBT/ATD ~7.14M — NOT capture</t>
        </is>
      </c>
    </row>
    <row r="8">
      <c r="A8" t="inlineStr">
        <is>
          <t>M3</t>
        </is>
      </c>
      <c r="B8" t="inlineStr">
        <is>
          <t>Lodging sales beaches 2025 $M context</t>
        </is>
      </c>
      <c r="C8" s="7" t="n">
        <v>923</v>
      </c>
      <c r="D8" s="7" t="n">
        <v>923</v>
      </c>
      <c r="E8" s="7" t="n">
        <v>923</v>
      </c>
      <c r="F8" t="inlineStr">
        <is>
          <t>SOURCED al.com/GSOBT ~$923M</t>
        </is>
      </c>
    </row>
    <row r="9">
      <c r="A9" t="inlineStr">
        <is>
          <t>M4</t>
        </is>
      </c>
      <c r="B9" t="inlineStr">
        <is>
          <t>Peak lodging tax share Apr-Sep</t>
        </is>
      </c>
      <c r="C9" s="8" t="n">
        <v>0.7</v>
      </c>
      <c r="D9" s="8" t="n">
        <v>0.7</v>
      </c>
      <c r="E9" s="8" t="n">
        <v>0.7</v>
      </c>
      <c r="F9" t="inlineStr">
        <is>
          <t>SOURCED ATD ~70% Apr-Sep</t>
        </is>
      </c>
    </row>
    <row r="10">
      <c r="A10" t="inlineStr">
        <is>
          <t>U1</t>
        </is>
      </c>
      <c r="B10" t="inlineStr">
        <is>
          <t>Blended AOV ($)</t>
        </is>
      </c>
      <c r="C10" s="9" t="n">
        <v>600</v>
      </c>
      <c r="D10" s="9" t="n">
        <v>750</v>
      </c>
      <c r="E10" s="9" t="n">
        <v>950</v>
      </c>
      <c r="F10" t="inlineStr">
        <is>
          <t>ASSUMPTION public price-band mix</t>
        </is>
      </c>
    </row>
    <row r="11">
      <c r="A11" t="inlineStr">
        <is>
          <t>U2</t>
        </is>
      </c>
      <c r="B11" t="inlineStr">
        <is>
          <t>Network take rate</t>
        </is>
      </c>
      <c r="C11" s="8" t="n">
        <v>0.1</v>
      </c>
      <c r="D11" s="8" t="n">
        <v>0.12</v>
      </c>
      <c r="E11" s="8" t="n">
        <v>0.14</v>
      </c>
      <c r="F11" t="inlineStr">
        <is>
          <t>ASSUMPTION 10-15% vs FH~6% / OTA 20-30% sourced</t>
        </is>
      </c>
    </row>
    <row r="12">
      <c r="A12" t="inlineStr">
        <is>
          <t>U3</t>
        </is>
      </c>
      <c r="B12" t="inlineStr">
        <is>
          <t>Owned/sister uplift on take (pts)</t>
        </is>
      </c>
      <c r="C12" s="8" t="n">
        <v>0.005</v>
      </c>
      <c r="D12" s="8" t="n">
        <v>0.015</v>
      </c>
      <c r="E12" s="8" t="n">
        <v>0.03</v>
      </c>
      <c r="F12" t="inlineStr">
        <is>
          <t>ASSUMPTION spear/owned mix</t>
        </is>
      </c>
    </row>
    <row r="13">
      <c r="A13" t="inlineStr">
        <is>
          <t>U4</t>
        </is>
      </c>
      <c r="B13" t="inlineStr">
        <is>
          <t>Effective take rate (U2+U3)</t>
        </is>
      </c>
      <c r="C13" s="10">
        <f>C11+C12</f>
        <v/>
      </c>
      <c r="D13" s="10">
        <f>D11+D12</f>
        <v/>
      </c>
      <c r="E13" s="10">
        <f>E11+E12</f>
        <v/>
      </c>
      <c r="F13" t="inlineStr">
        <is>
          <t>CALCULATED</t>
        </is>
      </c>
    </row>
    <row r="14">
      <c r="A14" t="inlineStr">
        <is>
          <t>U5</t>
        </is>
      </c>
      <c r="B14" t="inlineStr">
        <is>
          <t>Deposit fraction of AOV</t>
        </is>
      </c>
      <c r="C14" s="8" t="n">
        <v>0.3</v>
      </c>
      <c r="D14" s="8" t="n">
        <v>0.3</v>
      </c>
      <c r="E14" s="8" t="n">
        <v>0.35</v>
      </c>
      <c r="F14" t="inlineStr">
        <is>
          <t>ASSUMPTION</t>
        </is>
      </c>
    </row>
    <row r="15">
      <c r="A15" t="inlineStr">
        <is>
          <t>U6</t>
        </is>
      </c>
      <c r="B15" t="inlineStr">
        <is>
          <t>Stripe fee %</t>
        </is>
      </c>
      <c r="C15" s="8" t="n">
        <v>0.029</v>
      </c>
      <c r="D15" s="8" t="n">
        <v>0.029</v>
      </c>
      <c r="E15" s="8" t="n">
        <v>0.029</v>
      </c>
      <c r="F15" t="inlineStr">
        <is>
          <t>ASSUMPTION</t>
        </is>
      </c>
    </row>
    <row r="16">
      <c r="A16" t="inlineStr">
        <is>
          <t>U7</t>
        </is>
      </c>
      <c r="B16" t="inlineStr">
        <is>
          <t>Stripe fee fixed $/txn</t>
        </is>
      </c>
      <c r="C16" s="11" t="n">
        <v>0.3</v>
      </c>
      <c r="D16" s="11" t="n">
        <v>0.3</v>
      </c>
      <c r="E16" s="11" t="n">
        <v>0.3</v>
      </c>
      <c r="F16" t="inlineStr">
        <is>
          <t>ASSUMPTION</t>
        </is>
      </c>
    </row>
    <row r="17">
      <c r="A17" t="inlineStr">
        <is>
          <t>U8</t>
        </is>
      </c>
      <c r="B17" t="inlineStr">
        <is>
          <t>Stripe basis 1=fee slice 0=full GMV</t>
        </is>
      </c>
      <c r="C17" s="7" t="n">
        <v>1</v>
      </c>
      <c r="D17" s="7" t="n">
        <v>1</v>
      </c>
      <c r="E17" s="7" t="n">
        <v>1</v>
      </c>
      <c r="F17" t="inlineStr">
        <is>
          <t>ASSUMPTION recommended fee-slice</t>
        </is>
      </c>
    </row>
    <row r="18">
      <c r="A18" t="inlineStr">
        <is>
          <t>U9</t>
        </is>
      </c>
      <c r="B18" t="inlineStr">
        <is>
          <t>Partner referral % of GMV blended</t>
        </is>
      </c>
      <c r="C18" s="8" t="n">
        <v>0.01</v>
      </c>
      <c r="D18" s="8" t="n">
        <v>0.008</v>
      </c>
      <c r="E18" s="8" t="n">
        <v>0.005</v>
      </c>
      <c r="F18" t="inlineStr">
        <is>
          <t>ASSUMPTION</t>
        </is>
      </c>
    </row>
    <row r="19">
      <c r="A19" t="inlineStr">
        <is>
          <t>U10</t>
        </is>
      </c>
      <c r="B19" t="inlineStr">
        <is>
          <t>SMS/email $/booking</t>
        </is>
      </c>
      <c r="C19" s="11" t="n">
        <v>1.25</v>
      </c>
      <c r="D19" s="11" t="n">
        <v>1</v>
      </c>
      <c r="E19" s="11" t="n">
        <v>0.75</v>
      </c>
      <c r="F19" t="inlineStr">
        <is>
          <t>ASSUMPTION</t>
        </is>
      </c>
    </row>
    <row r="20">
      <c r="A20" t="inlineStr">
        <is>
          <t>U11</t>
        </is>
      </c>
      <c r="B20" t="inlineStr">
        <is>
          <t>Weather drag % of platform revenue</t>
        </is>
      </c>
      <c r="C20" s="8" t="n">
        <v>0.06</v>
      </c>
      <c r="D20" s="8" t="n">
        <v>0.04</v>
      </c>
      <c r="E20" s="8" t="n">
        <v>0.025</v>
      </c>
      <c r="F20" t="inlineStr">
        <is>
          <t>ASSUMPTION</t>
        </is>
      </c>
    </row>
    <row r="21">
      <c r="A21" t="inlineStr">
        <is>
          <t>V1</t>
        </is>
      </c>
      <c r="B21" t="inlineStr">
        <is>
          <t>Y1 completed bookings</t>
        </is>
      </c>
      <c r="C21" s="7" t="n">
        <v>450</v>
      </c>
      <c r="D21" s="7" t="n">
        <v>900</v>
      </c>
      <c r="E21" s="7" t="n">
        <v>1200</v>
      </c>
      <c r="F21" t="inlineStr">
        <is>
          <t>ASSUMPTION</t>
        </is>
      </c>
    </row>
    <row r="22">
      <c r="A22" t="inlineStr">
        <is>
          <t>V2</t>
        </is>
      </c>
      <c r="B22" t="inlineStr">
        <is>
          <t>Y2 bookings</t>
        </is>
      </c>
      <c r="C22" s="7" t="n">
        <v>669</v>
      </c>
      <c r="D22" s="7" t="n">
        <v>1395</v>
      </c>
      <c r="E22" s="7" t="n">
        <v>1897</v>
      </c>
      <c r="F22" t="inlineStr">
        <is>
          <t>ASSUMPTION</t>
        </is>
      </c>
    </row>
    <row r="23">
      <c r="A23" t="inlineStr">
        <is>
          <t>V3</t>
        </is>
      </c>
      <c r="B23" t="inlineStr">
        <is>
          <t>Y3 bookings</t>
        </is>
      </c>
      <c r="C23" s="7" t="n">
        <v>995</v>
      </c>
      <c r="D23" s="7" t="n">
        <v>2163</v>
      </c>
      <c r="E23" s="7" t="n">
        <v>3000</v>
      </c>
      <c r="F23" t="inlineStr">
        <is>
          <t>ASSUMPTION</t>
        </is>
      </c>
    </row>
    <row r="24">
      <c r="A24" t="inlineStr">
        <is>
          <t>V4</t>
        </is>
      </c>
      <c r="B24" t="inlineStr">
        <is>
          <t>Y4 bookings</t>
        </is>
      </c>
      <c r="C24" s="7" t="n">
        <v>1480</v>
      </c>
      <c r="D24" s="7" t="n">
        <v>3354</v>
      </c>
      <c r="E24" s="7" t="n">
        <v>4743</v>
      </c>
      <c r="F24" t="inlineStr">
        <is>
          <t>ASSUMPTION</t>
        </is>
      </c>
    </row>
    <row r="25">
      <c r="A25" t="inlineStr">
        <is>
          <t>V5</t>
        </is>
      </c>
      <c r="B25" t="inlineStr">
        <is>
          <t>Y5 bookings</t>
        </is>
      </c>
      <c r="C25" s="7" t="n">
        <v>2200</v>
      </c>
      <c r="D25" s="7" t="n">
        <v>5200</v>
      </c>
      <c r="E25" s="7" t="n">
        <v>7500</v>
      </c>
      <c r="F25" t="inlineStr">
        <is>
          <t>ASSUMPTION</t>
        </is>
      </c>
    </row>
    <row r="26">
      <c r="A26" t="inlineStr">
        <is>
          <t>V6</t>
        </is>
      </c>
      <c r="B26" t="inlineStr">
        <is>
          <t>AOV annual lift Y2+</t>
        </is>
      </c>
      <c r="C26" s="8" t="n">
        <v>0.02</v>
      </c>
      <c r="D26" s="8" t="n">
        <v>0.03</v>
      </c>
      <c r="E26" s="8" t="n">
        <v>0.04</v>
      </c>
      <c r="F26" t="inlineStr">
        <is>
          <t>ASSUMPTION</t>
        </is>
      </c>
    </row>
    <row r="27">
      <c r="A27" t="inlineStr">
        <is>
          <t>C1</t>
        </is>
      </c>
      <c r="B27" t="inlineStr">
        <is>
          <t>Paid CAC $/paid booking</t>
        </is>
      </c>
      <c r="C27" s="11" t="n">
        <v>90</v>
      </c>
      <c r="D27" s="11" t="n">
        <v>50</v>
      </c>
      <c r="E27" s="11" t="n">
        <v>35</v>
      </c>
      <c r="F27" t="inlineStr">
        <is>
          <t>ASSUMPTION</t>
        </is>
      </c>
    </row>
    <row r="28">
      <c r="A28" t="inlineStr">
        <is>
          <t>C2</t>
        </is>
      </c>
      <c r="B28" t="inlineStr">
        <is>
          <t>% bookings from paid (Y1)</t>
        </is>
      </c>
      <c r="C28" s="8" t="n">
        <v>0.45</v>
      </c>
      <c r="D28" s="8" t="n">
        <v>0.3</v>
      </c>
      <c r="E28" s="8" t="n">
        <v>0.25</v>
      </c>
      <c r="F28" t="inlineStr">
        <is>
          <t>ASSUMPTION</t>
        </is>
      </c>
    </row>
    <row r="29">
      <c r="A29" t="inlineStr">
        <is>
          <t>C3</t>
        </is>
      </c>
      <c r="B29" t="inlineStr">
        <is>
          <t>% bookings from paid (Y5)</t>
        </is>
      </c>
      <c r="C29" s="8" t="n">
        <v>0.32</v>
      </c>
      <c r="D29" s="8" t="n">
        <v>0.18</v>
      </c>
      <c r="E29" s="8" t="n">
        <v>0.12</v>
      </c>
      <c r="F29" t="inlineStr">
        <is>
          <t>ASSUMPTION</t>
        </is>
      </c>
    </row>
    <row r="30">
      <c r="A30" t="inlineStr">
        <is>
          <t>C4</t>
        </is>
      </c>
      <c r="B30" t="inlineStr">
        <is>
          <t>Brand/content/partner mkt Y1 $</t>
        </is>
      </c>
      <c r="C30" s="9" t="n">
        <v>10000</v>
      </c>
      <c r="D30" s="9" t="n">
        <v>16000</v>
      </c>
      <c r="E30" s="9" t="n">
        <v>28000</v>
      </c>
      <c r="F30" t="inlineStr">
        <is>
          <t>ASSUMPTION excl paid CAC</t>
        </is>
      </c>
    </row>
    <row r="31">
      <c r="A31" t="inlineStr">
        <is>
          <t>O1</t>
        </is>
      </c>
      <c r="B31" t="inlineStr">
        <is>
          <t>People / contractors Y1 $</t>
        </is>
      </c>
      <c r="C31" s="9" t="n">
        <v>30000</v>
      </c>
      <c r="D31" s="9" t="n">
        <v>36000</v>
      </c>
      <c r="E31" s="9" t="n">
        <v>60000</v>
      </c>
      <c r="F31" t="inlineStr">
        <is>
          <t>ASSUMPTION founder-lean Base</t>
        </is>
      </c>
    </row>
    <row r="32">
      <c r="A32" t="inlineStr">
        <is>
          <t>O2</t>
        </is>
      </c>
      <c r="B32" t="inlineStr">
        <is>
          <t>Software / hosting Y1 $</t>
        </is>
      </c>
      <c r="C32" s="9" t="n">
        <v>4200</v>
      </c>
      <c r="D32" s="9" t="n">
        <v>6000</v>
      </c>
      <c r="E32" s="9" t="n">
        <v>9000</v>
      </c>
      <c r="F32" t="inlineStr">
        <is>
          <t>ASSUMPTION</t>
        </is>
      </c>
    </row>
    <row r="33">
      <c r="A33" t="inlineStr">
        <is>
          <t>O3</t>
        </is>
      </c>
      <c r="B33" t="inlineStr">
        <is>
          <t>Insurance / legal / compliance Y1 $</t>
        </is>
      </c>
      <c r="C33" s="9" t="n">
        <v>8000</v>
      </c>
      <c r="D33" s="9" t="n">
        <v>12000</v>
      </c>
      <c r="E33" s="9" t="n">
        <v>18000</v>
      </c>
      <c r="F33" t="inlineStr">
        <is>
          <t>ASSUMPTION</t>
        </is>
      </c>
    </row>
    <row r="34">
      <c r="A34" t="inlineStr">
        <is>
          <t>O4</t>
        </is>
      </c>
      <c r="B34" t="inlineStr">
        <is>
          <t>Other G&amp;A Y1 $</t>
        </is>
      </c>
      <c r="C34" s="9" t="n">
        <v>5000</v>
      </c>
      <c r="D34" s="9" t="n">
        <v>8000</v>
      </c>
      <c r="E34" s="9" t="n">
        <v>12000</v>
      </c>
      <c r="F34" t="inlineStr">
        <is>
          <t>ASSUMPTION</t>
        </is>
      </c>
    </row>
    <row r="35">
      <c r="A35" t="inlineStr">
        <is>
          <t>O5</t>
        </is>
      </c>
      <c r="B35" t="inlineStr">
        <is>
          <t>Core OpEx annual growth</t>
        </is>
      </c>
      <c r="C35" s="8" t="n">
        <v>0.1</v>
      </c>
      <c r="D35" s="8" t="n">
        <v>0.12</v>
      </c>
      <c r="E35" s="8" t="n">
        <v>0.16</v>
      </c>
      <c r="F35" t="inlineStr">
        <is>
          <t>ASSUMPTION</t>
        </is>
      </c>
    </row>
    <row r="36">
      <c r="A36" t="inlineStr">
        <is>
          <t>O6</t>
        </is>
      </c>
      <c r="B36" t="inlineStr">
        <is>
          <t>Brand marketing growth / yr</t>
        </is>
      </c>
      <c r="C36" s="8" t="n">
        <v>0.06</v>
      </c>
      <c r="D36" s="8" t="n">
        <v>0.1</v>
      </c>
      <c r="E36" s="8" t="n">
        <v>0.12</v>
      </c>
      <c r="F36" t="inlineStr">
        <is>
          <t>ASSUMPTION</t>
        </is>
      </c>
    </row>
    <row r="37">
      <c r="A37" t="inlineStr">
        <is>
          <t>CH1</t>
        </is>
      </c>
      <c r="B37" t="inlineStr">
        <is>
          <t>Direct GMV share Y1 target</t>
        </is>
      </c>
      <c r="C37" s="8" t="n">
        <v>0.85</v>
      </c>
      <c r="D37" s="8" t="n">
        <v>0.8</v>
      </c>
      <c r="E37" s="8" t="n">
        <v>0.75</v>
      </c>
      <c r="F37" t="inlineStr">
        <is>
          <t>ASSUMPTION KPI</t>
        </is>
      </c>
    </row>
    <row r="38">
      <c r="A38" t="inlineStr">
        <is>
          <t>CH2</t>
        </is>
      </c>
      <c r="B38" t="inlineStr">
        <is>
          <t>OTA GMV share Y1</t>
        </is>
      </c>
      <c r="C38" s="8" t="n">
        <v>0</v>
      </c>
      <c r="D38" s="8" t="n">
        <v>0</v>
      </c>
      <c r="E38" s="8" t="n">
        <v>0</v>
      </c>
      <c r="F38" t="inlineStr">
        <is>
          <t>ASSUMPTION defer</t>
        </is>
      </c>
    </row>
    <row r="39">
      <c r="A39" t="inlineStr">
        <is>
          <t>CH3</t>
        </is>
      </c>
      <c r="B39" t="inlineStr">
        <is>
          <t>OTA commission if used later</t>
        </is>
      </c>
      <c r="C39" s="8" t="n">
        <v>0.25</v>
      </c>
      <c r="D39" s="8" t="n">
        <v>0.25</v>
      </c>
      <c r="E39" s="8" t="n">
        <v>0.22</v>
      </c>
      <c r="F39" t="inlineStr">
        <is>
          <t>SOURCED ~20-30%</t>
        </is>
      </c>
    </row>
    <row r="40"/>
    <row r="41"/>
    <row r="42">
      <c r="A42" s="2" t="inlineStr">
        <is>
          <t>LEGEND</t>
        </is>
      </c>
    </row>
    <row r="43">
      <c r="B43" s="6" t="inlineStr">
        <is>
          <t>Yellow = INPUT</t>
        </is>
      </c>
    </row>
    <row r="44">
      <c r="B44" s="12" t="inlineStr">
        <is>
          <t>Green = CALCULATED</t>
        </is>
      </c>
    </row>
    <row r="45"/>
    <row r="46">
      <c r="A46" t="inlineStr">
        <is>
          <t>Partner keeps ~(1−take)×GMV (not GCCN OpEx). Platform COGS = Stripe(fee-slice)+referral+SMS+paid CAC+fixed OpEx.</t>
        </is>
      </c>
    </row>
    <row r="47">
      <c r="A47" t="inlineStr">
        <is>
          <t>Sources in BUSINESS_PLAN_5YR.md (GSOBT/ATD, FareHarbor ~6%, OTA ~20-30%).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40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  <col width="48" customWidth="1" min="16" max="16"/>
  </cols>
  <sheetData>
    <row r="1">
      <c r="A1" s="3" t="inlineStr">
        <is>
          <t>GCCN Annual P&amp;L — Y1–Y5 × Three Scenarios (pre-tax)</t>
        </is>
      </c>
    </row>
    <row r="2">
      <c r="A2" t="inlineStr">
        <is>
          <t>GMV=bookings×AOV(with lift). Revenue=GMV×effective take×(1−weather drag). Stripe on fee slice if U8=1.</t>
        </is>
      </c>
    </row>
    <row r="3"/>
    <row r="4">
      <c r="A4" s="13" t="inlineStr">
        <is>
          <t>Metric</t>
        </is>
      </c>
      <c r="B4" s="14" t="inlineStr">
        <is>
          <t>Y1 Cons</t>
        </is>
      </c>
      <c r="C4" s="15" t="inlineStr">
        <is>
          <t>Y1 Base</t>
        </is>
      </c>
      <c r="D4" s="16" t="inlineStr">
        <is>
          <t>Y1 Upsi</t>
        </is>
      </c>
      <c r="E4" s="14" t="inlineStr">
        <is>
          <t>Y2 Cons</t>
        </is>
      </c>
      <c r="F4" s="15" t="inlineStr">
        <is>
          <t>Y2 Base</t>
        </is>
      </c>
      <c r="G4" s="16" t="inlineStr">
        <is>
          <t>Y2 Upsi</t>
        </is>
      </c>
      <c r="H4" s="14" t="inlineStr">
        <is>
          <t>Y3 Cons</t>
        </is>
      </c>
      <c r="I4" s="15" t="inlineStr">
        <is>
          <t>Y3 Base</t>
        </is>
      </c>
      <c r="J4" s="16" t="inlineStr">
        <is>
          <t>Y3 Upsi</t>
        </is>
      </c>
      <c r="K4" s="14" t="inlineStr">
        <is>
          <t>Y4 Cons</t>
        </is>
      </c>
      <c r="L4" s="15" t="inlineStr">
        <is>
          <t>Y4 Base</t>
        </is>
      </c>
      <c r="M4" s="16" t="inlineStr">
        <is>
          <t>Y4 Upsi</t>
        </is>
      </c>
      <c r="N4" s="14" t="inlineStr">
        <is>
          <t>Y5 Cons</t>
        </is>
      </c>
      <c r="O4" s="15" t="inlineStr">
        <is>
          <t>Y5 Base</t>
        </is>
      </c>
      <c r="P4" s="16" t="inlineStr">
        <is>
          <t>Y5 Upsi</t>
        </is>
      </c>
    </row>
    <row r="5">
      <c r="A5" s="17" t="inlineStr">
        <is>
          <t>Bookings</t>
        </is>
      </c>
      <c r="B5" s="18">
        <f>Assumptions!C21</f>
        <v/>
      </c>
      <c r="C5" s="19">
        <f>Assumptions!D21</f>
        <v/>
      </c>
      <c r="D5" s="20">
        <f>Assumptions!E21</f>
        <v/>
      </c>
      <c r="E5" s="18">
        <f>Assumptions!C22</f>
        <v/>
      </c>
      <c r="F5" s="19">
        <f>Assumptions!D22</f>
        <v/>
      </c>
      <c r="G5" s="20">
        <f>Assumptions!E22</f>
        <v/>
      </c>
      <c r="H5" s="18">
        <f>Assumptions!C23</f>
        <v/>
      </c>
      <c r="I5" s="19">
        <f>Assumptions!D23</f>
        <v/>
      </c>
      <c r="J5" s="20">
        <f>Assumptions!E23</f>
        <v/>
      </c>
      <c r="K5" s="18">
        <f>Assumptions!C24</f>
        <v/>
      </c>
      <c r="L5" s="19">
        <f>Assumptions!D24</f>
        <v/>
      </c>
      <c r="M5" s="20">
        <f>Assumptions!E24</f>
        <v/>
      </c>
      <c r="N5" s="18">
        <f>Assumptions!C25</f>
        <v/>
      </c>
      <c r="O5" s="19">
        <f>Assumptions!D25</f>
        <v/>
      </c>
      <c r="P5" s="20">
        <f>Assumptions!E25</f>
        <v/>
      </c>
    </row>
    <row r="6">
      <c r="A6" s="17" t="inlineStr">
        <is>
          <t>AOV ($)</t>
        </is>
      </c>
      <c r="B6" s="21">
        <f>(Assumptions!C10*(1+Assumptions!C26)^(1-1))</f>
        <v/>
      </c>
      <c r="C6" s="22">
        <f>(Assumptions!D10*(1+Assumptions!D26)^(1-1))</f>
        <v/>
      </c>
      <c r="D6" s="23">
        <f>(Assumptions!E10*(1+Assumptions!E26)^(1-1))</f>
        <v/>
      </c>
      <c r="E6" s="21">
        <f>(Assumptions!C10*(1+Assumptions!C26)^(2-1))</f>
        <v/>
      </c>
      <c r="F6" s="22">
        <f>(Assumptions!D10*(1+Assumptions!D26)^(2-1))</f>
        <v/>
      </c>
      <c r="G6" s="23">
        <f>(Assumptions!E10*(1+Assumptions!E26)^(2-1))</f>
        <v/>
      </c>
      <c r="H6" s="21">
        <f>(Assumptions!C10*(1+Assumptions!C26)^(3-1))</f>
        <v/>
      </c>
      <c r="I6" s="22">
        <f>(Assumptions!D10*(1+Assumptions!D26)^(3-1))</f>
        <v/>
      </c>
      <c r="J6" s="23">
        <f>(Assumptions!E10*(1+Assumptions!E26)^(3-1))</f>
        <v/>
      </c>
      <c r="K6" s="21">
        <f>(Assumptions!C10*(1+Assumptions!C26)^(4-1))</f>
        <v/>
      </c>
      <c r="L6" s="22">
        <f>(Assumptions!D10*(1+Assumptions!D26)^(4-1))</f>
        <v/>
      </c>
      <c r="M6" s="23">
        <f>(Assumptions!E10*(1+Assumptions!E26)^(4-1))</f>
        <v/>
      </c>
      <c r="N6" s="21">
        <f>(Assumptions!C10*(1+Assumptions!C26)^(5-1))</f>
        <v/>
      </c>
      <c r="O6" s="22">
        <f>(Assumptions!D10*(1+Assumptions!D26)^(5-1))</f>
        <v/>
      </c>
      <c r="P6" s="23">
        <f>(Assumptions!E10*(1+Assumptions!E26)^(5-1))</f>
        <v/>
      </c>
    </row>
    <row r="7">
      <c r="A7" s="17" t="inlineStr">
        <is>
          <t>GMV ($)</t>
        </is>
      </c>
      <c r="B7" s="21">
        <f>(Assumptions!C21*(Assumptions!C10*(1+Assumptions!C26)^(1-1)))</f>
        <v/>
      </c>
      <c r="C7" s="22">
        <f>(Assumptions!D21*(Assumptions!D10*(1+Assumptions!D26)^(1-1)))</f>
        <v/>
      </c>
      <c r="D7" s="23">
        <f>(Assumptions!E21*(Assumptions!E10*(1+Assumptions!E26)^(1-1)))</f>
        <v/>
      </c>
      <c r="E7" s="21">
        <f>(Assumptions!C22*(Assumptions!C10*(1+Assumptions!C26)^(2-1)))</f>
        <v/>
      </c>
      <c r="F7" s="22">
        <f>(Assumptions!D22*(Assumptions!D10*(1+Assumptions!D26)^(2-1)))</f>
        <v/>
      </c>
      <c r="G7" s="23">
        <f>(Assumptions!E22*(Assumptions!E10*(1+Assumptions!E26)^(2-1)))</f>
        <v/>
      </c>
      <c r="H7" s="21">
        <f>(Assumptions!C23*(Assumptions!C10*(1+Assumptions!C26)^(3-1)))</f>
        <v/>
      </c>
      <c r="I7" s="22">
        <f>(Assumptions!D23*(Assumptions!D10*(1+Assumptions!D26)^(3-1)))</f>
        <v/>
      </c>
      <c r="J7" s="23">
        <f>(Assumptions!E23*(Assumptions!E10*(1+Assumptions!E26)^(3-1)))</f>
        <v/>
      </c>
      <c r="K7" s="21">
        <f>(Assumptions!C24*(Assumptions!C10*(1+Assumptions!C26)^(4-1)))</f>
        <v/>
      </c>
      <c r="L7" s="22">
        <f>(Assumptions!D24*(Assumptions!D10*(1+Assumptions!D26)^(4-1)))</f>
        <v/>
      </c>
      <c r="M7" s="23">
        <f>(Assumptions!E24*(Assumptions!E10*(1+Assumptions!E26)^(4-1)))</f>
        <v/>
      </c>
      <c r="N7" s="21">
        <f>(Assumptions!C25*(Assumptions!C10*(1+Assumptions!C26)^(5-1)))</f>
        <v/>
      </c>
      <c r="O7" s="22">
        <f>(Assumptions!D25*(Assumptions!D10*(1+Assumptions!D26)^(5-1)))</f>
        <v/>
      </c>
      <c r="P7" s="23">
        <f>(Assumptions!E25*(Assumptions!E10*(1+Assumptions!E26)^(5-1)))</f>
        <v/>
      </c>
    </row>
    <row r="8">
      <c r="A8" s="17" t="inlineStr">
        <is>
          <t>Effective take rate</t>
        </is>
      </c>
      <c r="B8" s="24">
        <f>(Assumptions!C11+Assumptions!C12)</f>
        <v/>
      </c>
      <c r="C8" s="25">
        <f>(Assumptions!D11+Assumptions!D12)</f>
        <v/>
      </c>
      <c r="D8" s="10">
        <f>(Assumptions!E11+Assumptions!E12)</f>
        <v/>
      </c>
      <c r="E8" s="24">
        <f>(Assumptions!C11+Assumptions!C12)</f>
        <v/>
      </c>
      <c r="F8" s="25">
        <f>(Assumptions!D11+Assumptions!D12)</f>
        <v/>
      </c>
      <c r="G8" s="10">
        <f>(Assumptions!E11+Assumptions!E12)</f>
        <v/>
      </c>
      <c r="H8" s="24">
        <f>(Assumptions!C11+Assumptions!C12)</f>
        <v/>
      </c>
      <c r="I8" s="25">
        <f>(Assumptions!D11+Assumptions!D12)</f>
        <v/>
      </c>
      <c r="J8" s="10">
        <f>(Assumptions!E11+Assumptions!E12)</f>
        <v/>
      </c>
      <c r="K8" s="24">
        <f>(Assumptions!C11+Assumptions!C12)</f>
        <v/>
      </c>
      <c r="L8" s="25">
        <f>(Assumptions!D11+Assumptions!D12)</f>
        <v/>
      </c>
      <c r="M8" s="10">
        <f>(Assumptions!E11+Assumptions!E12)</f>
        <v/>
      </c>
      <c r="N8" s="24">
        <f>(Assumptions!C11+Assumptions!C12)</f>
        <v/>
      </c>
      <c r="O8" s="25">
        <f>(Assumptions!D11+Assumptions!D12)</f>
        <v/>
      </c>
      <c r="P8" s="10">
        <f>(Assumptions!E11+Assumptions!E12)</f>
        <v/>
      </c>
    </row>
    <row r="9">
      <c r="A9" s="17" t="inlineStr">
        <is>
          <t>Gross platform revenue ($)</t>
        </is>
      </c>
      <c r="B9" s="21">
        <f>((Assumptions!C21*(Assumptions!C10*(1+Assumptions!C26)^(1-1)))*(Assumptions!C11+Assumptions!C12))</f>
        <v/>
      </c>
      <c r="C9" s="22">
        <f>((Assumptions!D21*(Assumptions!D10*(1+Assumptions!D26)^(1-1)))*(Assumptions!D11+Assumptions!D12))</f>
        <v/>
      </c>
      <c r="D9" s="23">
        <f>((Assumptions!E21*(Assumptions!E10*(1+Assumptions!E26)^(1-1)))*(Assumptions!E11+Assumptions!E12))</f>
        <v/>
      </c>
      <c r="E9" s="21">
        <f>((Assumptions!C22*(Assumptions!C10*(1+Assumptions!C26)^(2-1)))*(Assumptions!C11+Assumptions!C12))</f>
        <v/>
      </c>
      <c r="F9" s="22">
        <f>((Assumptions!D22*(Assumptions!D10*(1+Assumptions!D26)^(2-1)))*(Assumptions!D11+Assumptions!D12))</f>
        <v/>
      </c>
      <c r="G9" s="23">
        <f>((Assumptions!E22*(Assumptions!E10*(1+Assumptions!E26)^(2-1)))*(Assumptions!E11+Assumptions!E12))</f>
        <v/>
      </c>
      <c r="H9" s="21">
        <f>((Assumptions!C23*(Assumptions!C10*(1+Assumptions!C26)^(3-1)))*(Assumptions!C11+Assumptions!C12))</f>
        <v/>
      </c>
      <c r="I9" s="22">
        <f>((Assumptions!D23*(Assumptions!D10*(1+Assumptions!D26)^(3-1)))*(Assumptions!D11+Assumptions!D12))</f>
        <v/>
      </c>
      <c r="J9" s="23">
        <f>((Assumptions!E23*(Assumptions!E10*(1+Assumptions!E26)^(3-1)))*(Assumptions!E11+Assumptions!E12))</f>
        <v/>
      </c>
      <c r="K9" s="21">
        <f>((Assumptions!C24*(Assumptions!C10*(1+Assumptions!C26)^(4-1)))*(Assumptions!C11+Assumptions!C12))</f>
        <v/>
      </c>
      <c r="L9" s="22">
        <f>((Assumptions!D24*(Assumptions!D10*(1+Assumptions!D26)^(4-1)))*(Assumptions!D11+Assumptions!D12))</f>
        <v/>
      </c>
      <c r="M9" s="23">
        <f>((Assumptions!E24*(Assumptions!E10*(1+Assumptions!E26)^(4-1)))*(Assumptions!E11+Assumptions!E12))</f>
        <v/>
      </c>
      <c r="N9" s="21">
        <f>((Assumptions!C25*(Assumptions!C10*(1+Assumptions!C26)^(5-1)))*(Assumptions!C11+Assumptions!C12))</f>
        <v/>
      </c>
      <c r="O9" s="22">
        <f>((Assumptions!D25*(Assumptions!D10*(1+Assumptions!D26)^(5-1)))*(Assumptions!D11+Assumptions!D12))</f>
        <v/>
      </c>
      <c r="P9" s="23">
        <f>((Assumptions!E25*(Assumptions!E10*(1+Assumptions!E26)^(5-1)))*(Assumptions!E11+Assumptions!E12))</f>
        <v/>
      </c>
    </row>
    <row r="10">
      <c r="A10" s="17" t="inlineStr">
        <is>
          <t>Revenue after weather drag ($)</t>
        </is>
      </c>
      <c r="B10" s="21">
        <f>(((Assumptions!C21*(Assumptions!C10*(1+Assumptions!C26)^(1-1)))*(Assumptions!C11+Assumptions!C12))*(1-Assumptions!C20))</f>
        <v/>
      </c>
      <c r="C10" s="22">
        <f>(((Assumptions!D21*(Assumptions!D10*(1+Assumptions!D26)^(1-1)))*(Assumptions!D11+Assumptions!D12))*(1-Assumptions!D20))</f>
        <v/>
      </c>
      <c r="D10" s="23">
        <f>(((Assumptions!E21*(Assumptions!E10*(1+Assumptions!E26)^(1-1)))*(Assumptions!E11+Assumptions!E12))*(1-Assumptions!E20))</f>
        <v/>
      </c>
      <c r="E10" s="21">
        <f>(((Assumptions!C22*(Assumptions!C10*(1+Assumptions!C26)^(2-1)))*(Assumptions!C11+Assumptions!C12))*(1-Assumptions!C20))</f>
        <v/>
      </c>
      <c r="F10" s="22">
        <f>(((Assumptions!D22*(Assumptions!D10*(1+Assumptions!D26)^(2-1)))*(Assumptions!D11+Assumptions!D12))*(1-Assumptions!D20))</f>
        <v/>
      </c>
      <c r="G10" s="23">
        <f>(((Assumptions!E22*(Assumptions!E10*(1+Assumptions!E26)^(2-1)))*(Assumptions!E11+Assumptions!E12))*(1-Assumptions!E20))</f>
        <v/>
      </c>
      <c r="H10" s="21">
        <f>(((Assumptions!C23*(Assumptions!C10*(1+Assumptions!C26)^(3-1)))*(Assumptions!C11+Assumptions!C12))*(1-Assumptions!C20))</f>
        <v/>
      </c>
      <c r="I10" s="22">
        <f>(((Assumptions!D23*(Assumptions!D10*(1+Assumptions!D26)^(3-1)))*(Assumptions!D11+Assumptions!D12))*(1-Assumptions!D20))</f>
        <v/>
      </c>
      <c r="J10" s="23">
        <f>(((Assumptions!E23*(Assumptions!E10*(1+Assumptions!E26)^(3-1)))*(Assumptions!E11+Assumptions!E12))*(1-Assumptions!E20))</f>
        <v/>
      </c>
      <c r="K10" s="21">
        <f>(((Assumptions!C24*(Assumptions!C10*(1+Assumptions!C26)^(4-1)))*(Assumptions!C11+Assumptions!C12))*(1-Assumptions!C20))</f>
        <v/>
      </c>
      <c r="L10" s="22">
        <f>(((Assumptions!D24*(Assumptions!D10*(1+Assumptions!D26)^(4-1)))*(Assumptions!D11+Assumptions!D12))*(1-Assumptions!D20))</f>
        <v/>
      </c>
      <c r="M10" s="23">
        <f>(((Assumptions!E24*(Assumptions!E10*(1+Assumptions!E26)^(4-1)))*(Assumptions!E11+Assumptions!E12))*(1-Assumptions!E20))</f>
        <v/>
      </c>
      <c r="N10" s="21">
        <f>(((Assumptions!C25*(Assumptions!C10*(1+Assumptions!C26)^(5-1)))*(Assumptions!C11+Assumptions!C12))*(1-Assumptions!C20))</f>
        <v/>
      </c>
      <c r="O10" s="22">
        <f>(((Assumptions!D25*(Assumptions!D10*(1+Assumptions!D26)^(5-1)))*(Assumptions!D11+Assumptions!D12))*(1-Assumptions!D20))</f>
        <v/>
      </c>
      <c r="P10" s="23">
        <f>(((Assumptions!E25*(Assumptions!E10*(1+Assumptions!E26)^(5-1)))*(Assumptions!E11+Assumptions!E12))*(1-Assumptions!E20))</f>
        <v/>
      </c>
    </row>
    <row r="11">
      <c r="A11" s="17" t="inlineStr">
        <is>
          <t>Stripe fees ($)</t>
        </is>
      </c>
      <c r="B11" s="21">
        <f>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</f>
        <v/>
      </c>
      <c r="C11" s="22">
        <f>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</f>
        <v/>
      </c>
      <c r="D11" s="23">
        <f>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</f>
        <v/>
      </c>
      <c r="E11" s="21">
        <f>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</f>
        <v/>
      </c>
      <c r="F11" s="22">
        <f>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</f>
        <v/>
      </c>
      <c r="G11" s="23">
        <f>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</f>
        <v/>
      </c>
      <c r="H11" s="21">
        <f>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</f>
        <v/>
      </c>
      <c r="I11" s="22">
        <f>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</f>
        <v/>
      </c>
      <c r="J11" s="23">
        <f>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</f>
        <v/>
      </c>
      <c r="K11" s="21">
        <f>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</f>
        <v/>
      </c>
      <c r="L11" s="22">
        <f>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</f>
        <v/>
      </c>
      <c r="M11" s="23">
        <f>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</f>
        <v/>
      </c>
      <c r="N11" s="21">
        <f>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</f>
        <v/>
      </c>
      <c r="O11" s="22">
        <f>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</f>
        <v/>
      </c>
      <c r="P11" s="23">
        <f>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</f>
        <v/>
      </c>
    </row>
    <row r="12">
      <c r="A12" s="17" t="inlineStr">
        <is>
          <t>Partner referral credits ($)</t>
        </is>
      </c>
      <c r="B12" s="21">
        <f>((Assumptions!C21*(Assumptions!C10*(1+Assumptions!C26)^(1-1)))*Assumptions!C18)</f>
        <v/>
      </c>
      <c r="C12" s="22">
        <f>((Assumptions!D21*(Assumptions!D10*(1+Assumptions!D26)^(1-1)))*Assumptions!D18)</f>
        <v/>
      </c>
      <c r="D12" s="23">
        <f>((Assumptions!E21*(Assumptions!E10*(1+Assumptions!E26)^(1-1)))*Assumptions!E18)</f>
        <v/>
      </c>
      <c r="E12" s="21">
        <f>((Assumptions!C22*(Assumptions!C10*(1+Assumptions!C26)^(2-1)))*Assumptions!C18)</f>
        <v/>
      </c>
      <c r="F12" s="22">
        <f>((Assumptions!D22*(Assumptions!D10*(1+Assumptions!D26)^(2-1)))*Assumptions!D18)</f>
        <v/>
      </c>
      <c r="G12" s="23">
        <f>((Assumptions!E22*(Assumptions!E10*(1+Assumptions!E26)^(2-1)))*Assumptions!E18)</f>
        <v/>
      </c>
      <c r="H12" s="21">
        <f>((Assumptions!C23*(Assumptions!C10*(1+Assumptions!C26)^(3-1)))*Assumptions!C18)</f>
        <v/>
      </c>
      <c r="I12" s="22">
        <f>((Assumptions!D23*(Assumptions!D10*(1+Assumptions!D26)^(3-1)))*Assumptions!D18)</f>
        <v/>
      </c>
      <c r="J12" s="23">
        <f>((Assumptions!E23*(Assumptions!E10*(1+Assumptions!E26)^(3-1)))*Assumptions!E18)</f>
        <v/>
      </c>
      <c r="K12" s="21">
        <f>((Assumptions!C24*(Assumptions!C10*(1+Assumptions!C26)^(4-1)))*Assumptions!C18)</f>
        <v/>
      </c>
      <c r="L12" s="22">
        <f>((Assumptions!D24*(Assumptions!D10*(1+Assumptions!D26)^(4-1)))*Assumptions!D18)</f>
        <v/>
      </c>
      <c r="M12" s="23">
        <f>((Assumptions!E24*(Assumptions!E10*(1+Assumptions!E26)^(4-1)))*Assumptions!E18)</f>
        <v/>
      </c>
      <c r="N12" s="21">
        <f>((Assumptions!C25*(Assumptions!C10*(1+Assumptions!C26)^(5-1)))*Assumptions!C18)</f>
        <v/>
      </c>
      <c r="O12" s="22">
        <f>((Assumptions!D25*(Assumptions!D10*(1+Assumptions!D26)^(5-1)))*Assumptions!D18)</f>
        <v/>
      </c>
      <c r="P12" s="23">
        <f>((Assumptions!E25*(Assumptions!E10*(1+Assumptions!E26)^(5-1)))*Assumptions!E18)</f>
        <v/>
      </c>
    </row>
    <row r="13">
      <c r="A13" s="17" t="inlineStr">
        <is>
          <t>SMS/email variable ($)</t>
        </is>
      </c>
      <c r="B13" s="21">
        <f>(Assumptions!C21*Assumptions!C19)</f>
        <v/>
      </c>
      <c r="C13" s="22">
        <f>(Assumptions!D21*Assumptions!D19)</f>
        <v/>
      </c>
      <c r="D13" s="23">
        <f>(Assumptions!E21*Assumptions!E19)</f>
        <v/>
      </c>
      <c r="E13" s="21">
        <f>(Assumptions!C22*Assumptions!C19)</f>
        <v/>
      </c>
      <c r="F13" s="22">
        <f>(Assumptions!D22*Assumptions!D19)</f>
        <v/>
      </c>
      <c r="G13" s="23">
        <f>(Assumptions!E22*Assumptions!E19)</f>
        <v/>
      </c>
      <c r="H13" s="21">
        <f>(Assumptions!C23*Assumptions!C19)</f>
        <v/>
      </c>
      <c r="I13" s="22">
        <f>(Assumptions!D23*Assumptions!D19)</f>
        <v/>
      </c>
      <c r="J13" s="23">
        <f>(Assumptions!E23*Assumptions!E19)</f>
        <v/>
      </c>
      <c r="K13" s="21">
        <f>(Assumptions!C24*Assumptions!C19)</f>
        <v/>
      </c>
      <c r="L13" s="22">
        <f>(Assumptions!D24*Assumptions!D19)</f>
        <v/>
      </c>
      <c r="M13" s="23">
        <f>(Assumptions!E24*Assumptions!E19)</f>
        <v/>
      </c>
      <c r="N13" s="21">
        <f>(Assumptions!C25*Assumptions!C19)</f>
        <v/>
      </c>
      <c r="O13" s="22">
        <f>(Assumptions!D25*Assumptions!D19)</f>
        <v/>
      </c>
      <c r="P13" s="23">
        <f>(Assumptions!E25*Assumptions!E19)</f>
        <v/>
      </c>
    </row>
    <row r="14">
      <c r="A14" s="17" t="inlineStr">
        <is>
          <t>Variable COGS subtotal ($)</t>
        </is>
      </c>
      <c r="B14" s="21">
        <f>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</f>
        <v/>
      </c>
      <c r="C14" s="22">
        <f>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</f>
        <v/>
      </c>
      <c r="D14" s="23">
        <f>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</f>
        <v/>
      </c>
      <c r="E14" s="21">
        <f>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</f>
        <v/>
      </c>
      <c r="F14" s="22">
        <f>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</f>
        <v/>
      </c>
      <c r="G14" s="23">
        <f>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</f>
        <v/>
      </c>
      <c r="H14" s="21">
        <f>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</f>
        <v/>
      </c>
      <c r="I14" s="22">
        <f>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</f>
        <v/>
      </c>
      <c r="J14" s="23">
        <f>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</f>
        <v/>
      </c>
      <c r="K14" s="21">
        <f>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</f>
        <v/>
      </c>
      <c r="L14" s="22">
        <f>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</f>
        <v/>
      </c>
      <c r="M14" s="23">
        <f>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</f>
        <v/>
      </c>
      <c r="N14" s="21">
        <f>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</f>
        <v/>
      </c>
      <c r="O14" s="22">
        <f>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</f>
        <v/>
      </c>
      <c r="P14" s="23">
        <f>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</f>
        <v/>
      </c>
    </row>
    <row r="15">
      <c r="A15" s="17" t="inlineStr">
        <is>
          <t>Contribution after var COGS ($)</t>
        </is>
      </c>
      <c r="B15" s="21">
        <f>((((Assumptions!C21*(Assumptions!C10*(1+Assumptions!C26)^(1-1)))*(Assumptions!C11+Assumptions!C12))*(1-Assumptions!C20))-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)</f>
        <v/>
      </c>
      <c r="C15" s="22">
        <f>((((Assumptions!D21*(Assumptions!D10*(1+Assumptions!D26)^(1-1)))*(Assumptions!D11+Assumptions!D12))*(1-Assumptions!D20))-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)</f>
        <v/>
      </c>
      <c r="D15" s="23">
        <f>((((Assumptions!E21*(Assumptions!E10*(1+Assumptions!E26)^(1-1)))*(Assumptions!E11+Assumptions!E12))*(1-Assumptions!E20))-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)</f>
        <v/>
      </c>
      <c r="E15" s="21">
        <f>((((Assumptions!C22*(Assumptions!C10*(1+Assumptions!C26)^(2-1)))*(Assumptions!C11+Assumptions!C12))*(1-Assumptions!C20))-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)</f>
        <v/>
      </c>
      <c r="F15" s="22">
        <f>((((Assumptions!D22*(Assumptions!D10*(1+Assumptions!D26)^(2-1)))*(Assumptions!D11+Assumptions!D12))*(1-Assumptions!D20))-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)</f>
        <v/>
      </c>
      <c r="G15" s="23">
        <f>((((Assumptions!E22*(Assumptions!E10*(1+Assumptions!E26)^(2-1)))*(Assumptions!E11+Assumptions!E12))*(1-Assumptions!E20))-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)</f>
        <v/>
      </c>
      <c r="H15" s="21">
        <f>((((Assumptions!C23*(Assumptions!C10*(1+Assumptions!C26)^(3-1)))*(Assumptions!C11+Assumptions!C12))*(1-Assumptions!C20))-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)</f>
        <v/>
      </c>
      <c r="I15" s="22">
        <f>((((Assumptions!D23*(Assumptions!D10*(1+Assumptions!D26)^(3-1)))*(Assumptions!D11+Assumptions!D12))*(1-Assumptions!D20))-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)</f>
        <v/>
      </c>
      <c r="J15" s="23">
        <f>((((Assumptions!E23*(Assumptions!E10*(1+Assumptions!E26)^(3-1)))*(Assumptions!E11+Assumptions!E12))*(1-Assumptions!E20))-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)</f>
        <v/>
      </c>
      <c r="K15" s="21">
        <f>((((Assumptions!C24*(Assumptions!C10*(1+Assumptions!C26)^(4-1)))*(Assumptions!C11+Assumptions!C12))*(1-Assumptions!C20))-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)</f>
        <v/>
      </c>
      <c r="L15" s="22">
        <f>((((Assumptions!D24*(Assumptions!D10*(1+Assumptions!D26)^(4-1)))*(Assumptions!D11+Assumptions!D12))*(1-Assumptions!D20))-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)</f>
        <v/>
      </c>
      <c r="M15" s="23">
        <f>((((Assumptions!E24*(Assumptions!E10*(1+Assumptions!E26)^(4-1)))*(Assumptions!E11+Assumptions!E12))*(1-Assumptions!E20))-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)</f>
        <v/>
      </c>
      <c r="N15" s="21">
        <f>((((Assumptions!C25*(Assumptions!C10*(1+Assumptions!C26)^(5-1)))*(Assumptions!C11+Assumptions!C12))*(1-Assumptions!C20))-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)</f>
        <v/>
      </c>
      <c r="O15" s="22">
        <f>((((Assumptions!D25*(Assumptions!D10*(1+Assumptions!D26)^(5-1)))*(Assumptions!D11+Assumptions!D12))*(1-Assumptions!D20))-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)</f>
        <v/>
      </c>
      <c r="P15" s="23">
        <f>((((Assumptions!E25*(Assumptions!E10*(1+Assumptions!E26)^(5-1)))*(Assumptions!E11+Assumptions!E12))*(1-Assumptions!E20))-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)</f>
        <v/>
      </c>
    </row>
    <row r="16">
      <c r="A16" s="17" t="inlineStr">
        <is>
          <t>Paid acquisition spend ($)</t>
        </is>
      </c>
      <c r="B16" s="21">
        <f>(Assumptions!C21*(Assumptions!C28+(Assumptions!C29-Assumptions!C28)*(1-1)/4)*Assumptions!C27)</f>
        <v/>
      </c>
      <c r="C16" s="22">
        <f>(Assumptions!D21*(Assumptions!D28+(Assumptions!D29-Assumptions!D28)*(1-1)/4)*Assumptions!D27)</f>
        <v/>
      </c>
      <c r="D16" s="23">
        <f>(Assumptions!E21*(Assumptions!E28+(Assumptions!E29-Assumptions!E28)*(1-1)/4)*Assumptions!E27)</f>
        <v/>
      </c>
      <c r="E16" s="21">
        <f>(Assumptions!C22*(Assumptions!C28+(Assumptions!C29-Assumptions!C28)*(2-1)/4)*Assumptions!C27)</f>
        <v/>
      </c>
      <c r="F16" s="22">
        <f>(Assumptions!D22*(Assumptions!D28+(Assumptions!D29-Assumptions!D28)*(2-1)/4)*Assumptions!D27)</f>
        <v/>
      </c>
      <c r="G16" s="23">
        <f>(Assumptions!E22*(Assumptions!E28+(Assumptions!E29-Assumptions!E28)*(2-1)/4)*Assumptions!E27)</f>
        <v/>
      </c>
      <c r="H16" s="21">
        <f>(Assumptions!C23*(Assumptions!C28+(Assumptions!C29-Assumptions!C28)*(3-1)/4)*Assumptions!C27)</f>
        <v/>
      </c>
      <c r="I16" s="22">
        <f>(Assumptions!D23*(Assumptions!D28+(Assumptions!D29-Assumptions!D28)*(3-1)/4)*Assumptions!D27)</f>
        <v/>
      </c>
      <c r="J16" s="23">
        <f>(Assumptions!E23*(Assumptions!E28+(Assumptions!E29-Assumptions!E28)*(3-1)/4)*Assumptions!E27)</f>
        <v/>
      </c>
      <c r="K16" s="21">
        <f>(Assumptions!C24*(Assumptions!C28+(Assumptions!C29-Assumptions!C28)*(4-1)/4)*Assumptions!C27)</f>
        <v/>
      </c>
      <c r="L16" s="22">
        <f>(Assumptions!D24*(Assumptions!D28+(Assumptions!D29-Assumptions!D28)*(4-1)/4)*Assumptions!D27)</f>
        <v/>
      </c>
      <c r="M16" s="23">
        <f>(Assumptions!E24*(Assumptions!E28+(Assumptions!E29-Assumptions!E28)*(4-1)/4)*Assumptions!E27)</f>
        <v/>
      </c>
      <c r="N16" s="21">
        <f>(Assumptions!C25*(Assumptions!C28+(Assumptions!C29-Assumptions!C28)*(5-1)/4)*Assumptions!C27)</f>
        <v/>
      </c>
      <c r="O16" s="22">
        <f>(Assumptions!D25*(Assumptions!D28+(Assumptions!D29-Assumptions!D28)*(5-1)/4)*Assumptions!D27)</f>
        <v/>
      </c>
      <c r="P16" s="23">
        <f>(Assumptions!E25*(Assumptions!E28+(Assumptions!E29-Assumptions!E28)*(5-1)/4)*Assumptions!E27)</f>
        <v/>
      </c>
    </row>
    <row r="17">
      <c r="A17" s="17" t="inlineStr">
        <is>
          <t>Fixed + brand OpEx ($)</t>
        </is>
      </c>
      <c r="B17" s="21">
        <f>((Assumptions!C31+Assumptions!C32+Assumptions!C33+Assumptions!C34)*(1+Assumptions!C35)^(1-1)+Assumptions!C30*(1+Assumptions!C36)^(1-1))</f>
        <v/>
      </c>
      <c r="C17" s="22">
        <f>((Assumptions!D31+Assumptions!D32+Assumptions!D33+Assumptions!D34)*(1+Assumptions!D35)^(1-1)+Assumptions!D30*(1+Assumptions!D36)^(1-1))</f>
        <v/>
      </c>
      <c r="D17" s="23">
        <f>((Assumptions!E31+Assumptions!E32+Assumptions!E33+Assumptions!E34)*(1+Assumptions!E35)^(1-1)+Assumptions!E30*(1+Assumptions!E36)^(1-1))</f>
        <v/>
      </c>
      <c r="E17" s="21">
        <f>((Assumptions!C31+Assumptions!C32+Assumptions!C33+Assumptions!C34)*(1+Assumptions!C35)^(2-1)+Assumptions!C30*(1+Assumptions!C36)^(2-1))</f>
        <v/>
      </c>
      <c r="F17" s="22">
        <f>((Assumptions!D31+Assumptions!D32+Assumptions!D33+Assumptions!D34)*(1+Assumptions!D35)^(2-1)+Assumptions!D30*(1+Assumptions!D36)^(2-1))</f>
        <v/>
      </c>
      <c r="G17" s="23">
        <f>((Assumptions!E31+Assumptions!E32+Assumptions!E33+Assumptions!E34)*(1+Assumptions!E35)^(2-1)+Assumptions!E30*(1+Assumptions!E36)^(2-1))</f>
        <v/>
      </c>
      <c r="H17" s="21">
        <f>((Assumptions!C31+Assumptions!C32+Assumptions!C33+Assumptions!C34)*(1+Assumptions!C35)^(3-1)+Assumptions!C30*(1+Assumptions!C36)^(3-1))</f>
        <v/>
      </c>
      <c r="I17" s="22">
        <f>((Assumptions!D31+Assumptions!D32+Assumptions!D33+Assumptions!D34)*(1+Assumptions!D35)^(3-1)+Assumptions!D30*(1+Assumptions!D36)^(3-1))</f>
        <v/>
      </c>
      <c r="J17" s="23">
        <f>((Assumptions!E31+Assumptions!E32+Assumptions!E33+Assumptions!E34)*(1+Assumptions!E35)^(3-1)+Assumptions!E30*(1+Assumptions!E36)^(3-1))</f>
        <v/>
      </c>
      <c r="K17" s="21">
        <f>((Assumptions!C31+Assumptions!C32+Assumptions!C33+Assumptions!C34)*(1+Assumptions!C35)^(4-1)+Assumptions!C30*(1+Assumptions!C36)^(4-1))</f>
        <v/>
      </c>
      <c r="L17" s="22">
        <f>((Assumptions!D31+Assumptions!D32+Assumptions!D33+Assumptions!D34)*(1+Assumptions!D35)^(4-1)+Assumptions!D30*(1+Assumptions!D36)^(4-1))</f>
        <v/>
      </c>
      <c r="M17" s="23">
        <f>((Assumptions!E31+Assumptions!E32+Assumptions!E33+Assumptions!E34)*(1+Assumptions!E35)^(4-1)+Assumptions!E30*(1+Assumptions!E36)^(4-1))</f>
        <v/>
      </c>
      <c r="N17" s="21">
        <f>((Assumptions!C31+Assumptions!C32+Assumptions!C33+Assumptions!C34)*(1+Assumptions!C35)^(5-1)+Assumptions!C30*(1+Assumptions!C36)^(5-1))</f>
        <v/>
      </c>
      <c r="O17" s="22">
        <f>((Assumptions!D31+Assumptions!D32+Assumptions!D33+Assumptions!D34)*(1+Assumptions!D35)^(5-1)+Assumptions!D30*(1+Assumptions!D36)^(5-1))</f>
        <v/>
      </c>
      <c r="P17" s="23">
        <f>((Assumptions!E31+Assumptions!E32+Assumptions!E33+Assumptions!E34)*(1+Assumptions!E35)^(5-1)+Assumptions!E30*(1+Assumptions!E36)^(5-1))</f>
        <v/>
      </c>
    </row>
    <row r="18">
      <c r="A18" s="17" t="inlineStr">
        <is>
          <t>Total costs excl. operator payout ($)</t>
        </is>
      </c>
      <c r="B18" s="21">
        <f>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+(Assumptions!C21*(Assumptions!C28+(Assumptions!C29-Assumptions!C28)*(1-1)/4)*Assumptions!C27)+((Assumptions!C31+Assumptions!C32+Assumptions!C33+Assumptions!C34)*(1+Assumptions!C35)^(1-1)+Assumptions!C30*(1+Assumptions!C36)^(1-1))</f>
        <v/>
      </c>
      <c r="C18" s="22">
        <f>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+(Assumptions!D21*(Assumptions!D28+(Assumptions!D29-Assumptions!D28)*(1-1)/4)*Assumptions!D27)+((Assumptions!D31+Assumptions!D32+Assumptions!D33+Assumptions!D34)*(1+Assumptions!D35)^(1-1)+Assumptions!D30*(1+Assumptions!D36)^(1-1))</f>
        <v/>
      </c>
      <c r="D18" s="23">
        <f>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+(Assumptions!E21*(Assumptions!E28+(Assumptions!E29-Assumptions!E28)*(1-1)/4)*Assumptions!E27)+((Assumptions!E31+Assumptions!E32+Assumptions!E33+Assumptions!E34)*(1+Assumptions!E35)^(1-1)+Assumptions!E30*(1+Assumptions!E36)^(1-1))</f>
        <v/>
      </c>
      <c r="E18" s="21">
        <f>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+(Assumptions!C22*(Assumptions!C28+(Assumptions!C29-Assumptions!C28)*(2-1)/4)*Assumptions!C27)+((Assumptions!C31+Assumptions!C32+Assumptions!C33+Assumptions!C34)*(1+Assumptions!C35)^(2-1)+Assumptions!C30*(1+Assumptions!C36)^(2-1))</f>
        <v/>
      </c>
      <c r="F18" s="22">
        <f>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+(Assumptions!D22*(Assumptions!D28+(Assumptions!D29-Assumptions!D28)*(2-1)/4)*Assumptions!D27)+((Assumptions!D31+Assumptions!D32+Assumptions!D33+Assumptions!D34)*(1+Assumptions!D35)^(2-1)+Assumptions!D30*(1+Assumptions!D36)^(2-1))</f>
        <v/>
      </c>
      <c r="G18" s="23">
        <f>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+(Assumptions!E22*(Assumptions!E28+(Assumptions!E29-Assumptions!E28)*(2-1)/4)*Assumptions!E27)+((Assumptions!E31+Assumptions!E32+Assumptions!E33+Assumptions!E34)*(1+Assumptions!E35)^(2-1)+Assumptions!E30*(1+Assumptions!E36)^(2-1))</f>
        <v/>
      </c>
      <c r="H18" s="21">
        <f>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+(Assumptions!C23*(Assumptions!C28+(Assumptions!C29-Assumptions!C28)*(3-1)/4)*Assumptions!C27)+((Assumptions!C31+Assumptions!C32+Assumptions!C33+Assumptions!C34)*(1+Assumptions!C35)^(3-1)+Assumptions!C30*(1+Assumptions!C36)^(3-1))</f>
        <v/>
      </c>
      <c r="I18" s="22">
        <f>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+(Assumptions!D23*(Assumptions!D28+(Assumptions!D29-Assumptions!D28)*(3-1)/4)*Assumptions!D27)+((Assumptions!D31+Assumptions!D32+Assumptions!D33+Assumptions!D34)*(1+Assumptions!D35)^(3-1)+Assumptions!D30*(1+Assumptions!D36)^(3-1))</f>
        <v/>
      </c>
      <c r="J18" s="23">
        <f>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+(Assumptions!E23*(Assumptions!E28+(Assumptions!E29-Assumptions!E28)*(3-1)/4)*Assumptions!E27)+((Assumptions!E31+Assumptions!E32+Assumptions!E33+Assumptions!E34)*(1+Assumptions!E35)^(3-1)+Assumptions!E30*(1+Assumptions!E36)^(3-1))</f>
        <v/>
      </c>
      <c r="K18" s="21">
        <f>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+(Assumptions!C24*(Assumptions!C28+(Assumptions!C29-Assumptions!C28)*(4-1)/4)*Assumptions!C27)+((Assumptions!C31+Assumptions!C32+Assumptions!C33+Assumptions!C34)*(1+Assumptions!C35)^(4-1)+Assumptions!C30*(1+Assumptions!C36)^(4-1))</f>
        <v/>
      </c>
      <c r="L18" s="22">
        <f>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+(Assumptions!D24*(Assumptions!D28+(Assumptions!D29-Assumptions!D28)*(4-1)/4)*Assumptions!D27)+((Assumptions!D31+Assumptions!D32+Assumptions!D33+Assumptions!D34)*(1+Assumptions!D35)^(4-1)+Assumptions!D30*(1+Assumptions!D36)^(4-1))</f>
        <v/>
      </c>
      <c r="M18" s="23">
        <f>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+(Assumptions!E24*(Assumptions!E28+(Assumptions!E29-Assumptions!E28)*(4-1)/4)*Assumptions!E27)+((Assumptions!E31+Assumptions!E32+Assumptions!E33+Assumptions!E34)*(1+Assumptions!E35)^(4-1)+Assumptions!E30*(1+Assumptions!E36)^(4-1))</f>
        <v/>
      </c>
      <c r="N18" s="21">
        <f>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+(Assumptions!C25*(Assumptions!C28+(Assumptions!C29-Assumptions!C28)*(5-1)/4)*Assumptions!C27)+((Assumptions!C31+Assumptions!C32+Assumptions!C33+Assumptions!C34)*(1+Assumptions!C35)^(5-1)+Assumptions!C30*(1+Assumptions!C36)^(5-1))</f>
        <v/>
      </c>
      <c r="O18" s="22">
        <f>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+(Assumptions!D25*(Assumptions!D28+(Assumptions!D29-Assumptions!D28)*(5-1)/4)*Assumptions!D27)+((Assumptions!D31+Assumptions!D32+Assumptions!D33+Assumptions!D34)*(1+Assumptions!D35)^(5-1)+Assumptions!D30*(1+Assumptions!D36)^(5-1))</f>
        <v/>
      </c>
      <c r="P18" s="23">
        <f>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+(Assumptions!E25*(Assumptions!E28+(Assumptions!E29-Assumptions!E28)*(5-1)/4)*Assumptions!E27)+((Assumptions!E31+Assumptions!E32+Assumptions!E33+Assumptions!E34)*(1+Assumptions!E35)^(5-1)+Assumptions!E30*(1+Assumptions!E36)^(5-1))</f>
        <v/>
      </c>
    </row>
    <row r="19">
      <c r="A19" s="17" t="inlineStr">
        <is>
          <t>Net profit / (loss) ($)</t>
        </is>
      </c>
      <c r="B19" s="21">
        <f>(((((Assumptions!C21*(Assumptions!C10*(1+Assumptions!C26)^(1-1)))*(Assumptions!C11+Assumptions!C12))*(1-Assumptions!C20))-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)-(Assumptions!C21*(Assumptions!C28+(Assumptions!C29-Assumptions!C28)*(1-1)/4)*Assumptions!C27)-((Assumptions!C31+Assumptions!C32+Assumptions!C33+Assumptions!C34)*(1+Assumptions!C35)^(1-1)+Assumptions!C30*(1+Assumptions!C36)^(1-1)))</f>
        <v/>
      </c>
      <c r="C19" s="22">
        <f>(((((Assumptions!D21*(Assumptions!D10*(1+Assumptions!D26)^(1-1)))*(Assumptions!D11+Assumptions!D12))*(1-Assumptions!D20))-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)-(Assumptions!D21*(Assumptions!D28+(Assumptions!D29-Assumptions!D28)*(1-1)/4)*Assumptions!D27)-((Assumptions!D31+Assumptions!D32+Assumptions!D33+Assumptions!D34)*(1+Assumptions!D35)^(1-1)+Assumptions!D30*(1+Assumptions!D36)^(1-1)))</f>
        <v/>
      </c>
      <c r="D19" s="23">
        <f>(((((Assumptions!E21*(Assumptions!E10*(1+Assumptions!E26)^(1-1)))*(Assumptions!E11+Assumptions!E12))*(1-Assumptions!E20))-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)-(Assumptions!E21*(Assumptions!E28+(Assumptions!E29-Assumptions!E28)*(1-1)/4)*Assumptions!E27)-((Assumptions!E31+Assumptions!E32+Assumptions!E33+Assumptions!E34)*(1+Assumptions!E35)^(1-1)+Assumptions!E30*(1+Assumptions!E36)^(1-1)))</f>
        <v/>
      </c>
      <c r="E19" s="21">
        <f>(((((Assumptions!C22*(Assumptions!C10*(1+Assumptions!C26)^(2-1)))*(Assumptions!C11+Assumptions!C12))*(1-Assumptions!C20))-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)-(Assumptions!C22*(Assumptions!C28+(Assumptions!C29-Assumptions!C28)*(2-1)/4)*Assumptions!C27)-((Assumptions!C31+Assumptions!C32+Assumptions!C33+Assumptions!C34)*(1+Assumptions!C35)^(2-1)+Assumptions!C30*(1+Assumptions!C36)^(2-1)))</f>
        <v/>
      </c>
      <c r="F19" s="22">
        <f>(((((Assumptions!D22*(Assumptions!D10*(1+Assumptions!D26)^(2-1)))*(Assumptions!D11+Assumptions!D12))*(1-Assumptions!D20))-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)-(Assumptions!D22*(Assumptions!D28+(Assumptions!D29-Assumptions!D28)*(2-1)/4)*Assumptions!D27)-((Assumptions!D31+Assumptions!D32+Assumptions!D33+Assumptions!D34)*(1+Assumptions!D35)^(2-1)+Assumptions!D30*(1+Assumptions!D36)^(2-1)))</f>
        <v/>
      </c>
      <c r="G19" s="23">
        <f>(((((Assumptions!E22*(Assumptions!E10*(1+Assumptions!E26)^(2-1)))*(Assumptions!E11+Assumptions!E12))*(1-Assumptions!E20))-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)-(Assumptions!E22*(Assumptions!E28+(Assumptions!E29-Assumptions!E28)*(2-1)/4)*Assumptions!E27)-((Assumptions!E31+Assumptions!E32+Assumptions!E33+Assumptions!E34)*(1+Assumptions!E35)^(2-1)+Assumptions!E30*(1+Assumptions!E36)^(2-1)))</f>
        <v/>
      </c>
      <c r="H19" s="21">
        <f>(((((Assumptions!C23*(Assumptions!C10*(1+Assumptions!C26)^(3-1)))*(Assumptions!C11+Assumptions!C12))*(1-Assumptions!C20))-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)-(Assumptions!C23*(Assumptions!C28+(Assumptions!C29-Assumptions!C28)*(3-1)/4)*Assumptions!C27)-((Assumptions!C31+Assumptions!C32+Assumptions!C33+Assumptions!C34)*(1+Assumptions!C35)^(3-1)+Assumptions!C30*(1+Assumptions!C36)^(3-1)))</f>
        <v/>
      </c>
      <c r="I19" s="22">
        <f>(((((Assumptions!D23*(Assumptions!D10*(1+Assumptions!D26)^(3-1)))*(Assumptions!D11+Assumptions!D12))*(1-Assumptions!D20))-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)-(Assumptions!D23*(Assumptions!D28+(Assumptions!D29-Assumptions!D28)*(3-1)/4)*Assumptions!D27)-((Assumptions!D31+Assumptions!D32+Assumptions!D33+Assumptions!D34)*(1+Assumptions!D35)^(3-1)+Assumptions!D30*(1+Assumptions!D36)^(3-1)))</f>
        <v/>
      </c>
      <c r="J19" s="23">
        <f>(((((Assumptions!E23*(Assumptions!E10*(1+Assumptions!E26)^(3-1)))*(Assumptions!E11+Assumptions!E12))*(1-Assumptions!E20))-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)-(Assumptions!E23*(Assumptions!E28+(Assumptions!E29-Assumptions!E28)*(3-1)/4)*Assumptions!E27)-((Assumptions!E31+Assumptions!E32+Assumptions!E33+Assumptions!E34)*(1+Assumptions!E35)^(3-1)+Assumptions!E30*(1+Assumptions!E36)^(3-1)))</f>
        <v/>
      </c>
      <c r="K19" s="21">
        <f>(((((Assumptions!C24*(Assumptions!C10*(1+Assumptions!C26)^(4-1)))*(Assumptions!C11+Assumptions!C12))*(1-Assumptions!C20))-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)-(Assumptions!C24*(Assumptions!C28+(Assumptions!C29-Assumptions!C28)*(4-1)/4)*Assumptions!C27)-((Assumptions!C31+Assumptions!C32+Assumptions!C33+Assumptions!C34)*(1+Assumptions!C35)^(4-1)+Assumptions!C30*(1+Assumptions!C36)^(4-1)))</f>
        <v/>
      </c>
      <c r="L19" s="22">
        <f>(((((Assumptions!D24*(Assumptions!D10*(1+Assumptions!D26)^(4-1)))*(Assumptions!D11+Assumptions!D12))*(1-Assumptions!D20))-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)-(Assumptions!D24*(Assumptions!D28+(Assumptions!D29-Assumptions!D28)*(4-1)/4)*Assumptions!D27)-((Assumptions!D31+Assumptions!D32+Assumptions!D33+Assumptions!D34)*(1+Assumptions!D35)^(4-1)+Assumptions!D30*(1+Assumptions!D36)^(4-1)))</f>
        <v/>
      </c>
      <c r="M19" s="23">
        <f>(((((Assumptions!E24*(Assumptions!E10*(1+Assumptions!E26)^(4-1)))*(Assumptions!E11+Assumptions!E12))*(1-Assumptions!E20))-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)-(Assumptions!E24*(Assumptions!E28+(Assumptions!E29-Assumptions!E28)*(4-1)/4)*Assumptions!E27)-((Assumptions!E31+Assumptions!E32+Assumptions!E33+Assumptions!E34)*(1+Assumptions!E35)^(4-1)+Assumptions!E30*(1+Assumptions!E36)^(4-1)))</f>
        <v/>
      </c>
      <c r="N19" s="21">
        <f>(((((Assumptions!C25*(Assumptions!C10*(1+Assumptions!C26)^(5-1)))*(Assumptions!C11+Assumptions!C12))*(1-Assumptions!C20))-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)-(Assumptions!C25*(Assumptions!C28+(Assumptions!C29-Assumptions!C28)*(5-1)/4)*Assumptions!C27)-((Assumptions!C31+Assumptions!C32+Assumptions!C33+Assumptions!C34)*(1+Assumptions!C35)^(5-1)+Assumptions!C30*(1+Assumptions!C36)^(5-1)))</f>
        <v/>
      </c>
      <c r="O19" s="22">
        <f>(((((Assumptions!D25*(Assumptions!D10*(1+Assumptions!D26)^(5-1)))*(Assumptions!D11+Assumptions!D12))*(1-Assumptions!D20))-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)-(Assumptions!D25*(Assumptions!D28+(Assumptions!D29-Assumptions!D28)*(5-1)/4)*Assumptions!D27)-((Assumptions!D31+Assumptions!D32+Assumptions!D33+Assumptions!D34)*(1+Assumptions!D35)^(5-1)+Assumptions!D30*(1+Assumptions!D36)^(5-1)))</f>
        <v/>
      </c>
      <c r="P19" s="23">
        <f>(((((Assumptions!E25*(Assumptions!E10*(1+Assumptions!E26)^(5-1)))*(Assumptions!E11+Assumptions!E12))*(1-Assumptions!E20))-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)-(Assumptions!E25*(Assumptions!E28+(Assumptions!E29-Assumptions!E28)*(5-1)/4)*Assumptions!E27)-((Assumptions!E31+Assumptions!E32+Assumptions!E33+Assumptions!E34)*(1+Assumptions!E35)^(5-1)+Assumptions!E30*(1+Assumptions!E36)^(5-1)))</f>
        <v/>
      </c>
    </row>
    <row r="20">
      <c r="A20" s="17" t="inlineStr">
        <is>
          <t>Net margin % of platform revenue</t>
        </is>
      </c>
      <c r="B20" s="24">
        <f>IF((((Assumptions!C21*(Assumptions!C10*(1+Assumptions!C26)^(1-1)))*(Assumptions!C11+Assumptions!C12))*(1-Assumptions!C20))=0,0,(((((Assumptions!C21*(Assumptions!C10*(1+Assumptions!C26)^(1-1)))*(Assumptions!C11+Assumptions!C12))*(1-Assumptions!C20))-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)-(Assumptions!C21*(Assumptions!C28+(Assumptions!C29-Assumptions!C28)*(1-1)/4)*Assumptions!C27)-((Assumptions!C31+Assumptions!C32+Assumptions!C33+Assumptions!C34)*(1+Assumptions!C35)^(1-1)+Assumptions!C30*(1+Assumptions!C36)^(1-1)))/(((Assumptions!C21*(Assumptions!C10*(1+Assumptions!C26)^(1-1)))*(Assumptions!C11+Assumptions!C12))*(1-Assumptions!C20)))</f>
        <v/>
      </c>
      <c r="C20" s="25">
        <f>IF((((Assumptions!D21*(Assumptions!D10*(1+Assumptions!D26)^(1-1)))*(Assumptions!D11+Assumptions!D12))*(1-Assumptions!D20))=0,0,(((((Assumptions!D21*(Assumptions!D10*(1+Assumptions!D26)^(1-1)))*(Assumptions!D11+Assumptions!D12))*(1-Assumptions!D20))-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)-(Assumptions!D21*(Assumptions!D28+(Assumptions!D29-Assumptions!D28)*(1-1)/4)*Assumptions!D27)-((Assumptions!D31+Assumptions!D32+Assumptions!D33+Assumptions!D34)*(1+Assumptions!D35)^(1-1)+Assumptions!D30*(1+Assumptions!D36)^(1-1)))/(((Assumptions!D21*(Assumptions!D10*(1+Assumptions!D26)^(1-1)))*(Assumptions!D11+Assumptions!D12))*(1-Assumptions!D20)))</f>
        <v/>
      </c>
      <c r="D20" s="10">
        <f>IF((((Assumptions!E21*(Assumptions!E10*(1+Assumptions!E26)^(1-1)))*(Assumptions!E11+Assumptions!E12))*(1-Assumptions!E20))=0,0,(((((Assumptions!E21*(Assumptions!E10*(1+Assumptions!E26)^(1-1)))*(Assumptions!E11+Assumptions!E12))*(1-Assumptions!E20))-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)-(Assumptions!E21*(Assumptions!E28+(Assumptions!E29-Assumptions!E28)*(1-1)/4)*Assumptions!E27)-((Assumptions!E31+Assumptions!E32+Assumptions!E33+Assumptions!E34)*(1+Assumptions!E35)^(1-1)+Assumptions!E30*(1+Assumptions!E36)^(1-1)))/(((Assumptions!E21*(Assumptions!E10*(1+Assumptions!E26)^(1-1)))*(Assumptions!E11+Assumptions!E12))*(1-Assumptions!E20)))</f>
        <v/>
      </c>
      <c r="E20" s="24">
        <f>IF((((Assumptions!C22*(Assumptions!C10*(1+Assumptions!C26)^(2-1)))*(Assumptions!C11+Assumptions!C12))*(1-Assumptions!C20))=0,0,(((((Assumptions!C22*(Assumptions!C10*(1+Assumptions!C26)^(2-1)))*(Assumptions!C11+Assumptions!C12))*(1-Assumptions!C20))-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)-(Assumptions!C22*(Assumptions!C28+(Assumptions!C29-Assumptions!C28)*(2-1)/4)*Assumptions!C27)-((Assumptions!C31+Assumptions!C32+Assumptions!C33+Assumptions!C34)*(1+Assumptions!C35)^(2-1)+Assumptions!C30*(1+Assumptions!C36)^(2-1)))/(((Assumptions!C22*(Assumptions!C10*(1+Assumptions!C26)^(2-1)))*(Assumptions!C11+Assumptions!C12))*(1-Assumptions!C20)))</f>
        <v/>
      </c>
      <c r="F20" s="25">
        <f>IF((((Assumptions!D22*(Assumptions!D10*(1+Assumptions!D26)^(2-1)))*(Assumptions!D11+Assumptions!D12))*(1-Assumptions!D20))=0,0,(((((Assumptions!D22*(Assumptions!D10*(1+Assumptions!D26)^(2-1)))*(Assumptions!D11+Assumptions!D12))*(1-Assumptions!D20))-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)-(Assumptions!D22*(Assumptions!D28+(Assumptions!D29-Assumptions!D28)*(2-1)/4)*Assumptions!D27)-((Assumptions!D31+Assumptions!D32+Assumptions!D33+Assumptions!D34)*(1+Assumptions!D35)^(2-1)+Assumptions!D30*(1+Assumptions!D36)^(2-1)))/(((Assumptions!D22*(Assumptions!D10*(1+Assumptions!D26)^(2-1)))*(Assumptions!D11+Assumptions!D12))*(1-Assumptions!D20)))</f>
        <v/>
      </c>
      <c r="G20" s="10">
        <f>IF((((Assumptions!E22*(Assumptions!E10*(1+Assumptions!E26)^(2-1)))*(Assumptions!E11+Assumptions!E12))*(1-Assumptions!E20))=0,0,(((((Assumptions!E22*(Assumptions!E10*(1+Assumptions!E26)^(2-1)))*(Assumptions!E11+Assumptions!E12))*(1-Assumptions!E20))-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)-(Assumptions!E22*(Assumptions!E28+(Assumptions!E29-Assumptions!E28)*(2-1)/4)*Assumptions!E27)-((Assumptions!E31+Assumptions!E32+Assumptions!E33+Assumptions!E34)*(1+Assumptions!E35)^(2-1)+Assumptions!E30*(1+Assumptions!E36)^(2-1)))/(((Assumptions!E22*(Assumptions!E10*(1+Assumptions!E26)^(2-1)))*(Assumptions!E11+Assumptions!E12))*(1-Assumptions!E20)))</f>
        <v/>
      </c>
      <c r="H20" s="24">
        <f>IF((((Assumptions!C23*(Assumptions!C10*(1+Assumptions!C26)^(3-1)))*(Assumptions!C11+Assumptions!C12))*(1-Assumptions!C20))=0,0,(((((Assumptions!C23*(Assumptions!C10*(1+Assumptions!C26)^(3-1)))*(Assumptions!C11+Assumptions!C12))*(1-Assumptions!C20))-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)-(Assumptions!C23*(Assumptions!C28+(Assumptions!C29-Assumptions!C28)*(3-1)/4)*Assumptions!C27)-((Assumptions!C31+Assumptions!C32+Assumptions!C33+Assumptions!C34)*(1+Assumptions!C35)^(3-1)+Assumptions!C30*(1+Assumptions!C36)^(3-1)))/(((Assumptions!C23*(Assumptions!C10*(1+Assumptions!C26)^(3-1)))*(Assumptions!C11+Assumptions!C12))*(1-Assumptions!C20)))</f>
        <v/>
      </c>
      <c r="I20" s="25">
        <f>IF((((Assumptions!D23*(Assumptions!D10*(1+Assumptions!D26)^(3-1)))*(Assumptions!D11+Assumptions!D12))*(1-Assumptions!D20))=0,0,(((((Assumptions!D23*(Assumptions!D10*(1+Assumptions!D26)^(3-1)))*(Assumptions!D11+Assumptions!D12))*(1-Assumptions!D20))-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)-(Assumptions!D23*(Assumptions!D28+(Assumptions!D29-Assumptions!D28)*(3-1)/4)*Assumptions!D27)-((Assumptions!D31+Assumptions!D32+Assumptions!D33+Assumptions!D34)*(1+Assumptions!D35)^(3-1)+Assumptions!D30*(1+Assumptions!D36)^(3-1)))/(((Assumptions!D23*(Assumptions!D10*(1+Assumptions!D26)^(3-1)))*(Assumptions!D11+Assumptions!D12))*(1-Assumptions!D20)))</f>
        <v/>
      </c>
      <c r="J20" s="10">
        <f>IF((((Assumptions!E23*(Assumptions!E10*(1+Assumptions!E26)^(3-1)))*(Assumptions!E11+Assumptions!E12))*(1-Assumptions!E20))=0,0,(((((Assumptions!E23*(Assumptions!E10*(1+Assumptions!E26)^(3-1)))*(Assumptions!E11+Assumptions!E12))*(1-Assumptions!E20))-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)-(Assumptions!E23*(Assumptions!E28+(Assumptions!E29-Assumptions!E28)*(3-1)/4)*Assumptions!E27)-((Assumptions!E31+Assumptions!E32+Assumptions!E33+Assumptions!E34)*(1+Assumptions!E35)^(3-1)+Assumptions!E30*(1+Assumptions!E36)^(3-1)))/(((Assumptions!E23*(Assumptions!E10*(1+Assumptions!E26)^(3-1)))*(Assumptions!E11+Assumptions!E12))*(1-Assumptions!E20)))</f>
        <v/>
      </c>
      <c r="K20" s="24">
        <f>IF((((Assumptions!C24*(Assumptions!C10*(1+Assumptions!C26)^(4-1)))*(Assumptions!C11+Assumptions!C12))*(1-Assumptions!C20))=0,0,(((((Assumptions!C24*(Assumptions!C10*(1+Assumptions!C26)^(4-1)))*(Assumptions!C11+Assumptions!C12))*(1-Assumptions!C20))-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)-(Assumptions!C24*(Assumptions!C28+(Assumptions!C29-Assumptions!C28)*(4-1)/4)*Assumptions!C27)-((Assumptions!C31+Assumptions!C32+Assumptions!C33+Assumptions!C34)*(1+Assumptions!C35)^(4-1)+Assumptions!C30*(1+Assumptions!C36)^(4-1)))/(((Assumptions!C24*(Assumptions!C10*(1+Assumptions!C26)^(4-1)))*(Assumptions!C11+Assumptions!C12))*(1-Assumptions!C20)))</f>
        <v/>
      </c>
      <c r="L20" s="25">
        <f>IF((((Assumptions!D24*(Assumptions!D10*(1+Assumptions!D26)^(4-1)))*(Assumptions!D11+Assumptions!D12))*(1-Assumptions!D20))=0,0,(((((Assumptions!D24*(Assumptions!D10*(1+Assumptions!D26)^(4-1)))*(Assumptions!D11+Assumptions!D12))*(1-Assumptions!D20))-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)-(Assumptions!D24*(Assumptions!D28+(Assumptions!D29-Assumptions!D28)*(4-1)/4)*Assumptions!D27)-((Assumptions!D31+Assumptions!D32+Assumptions!D33+Assumptions!D34)*(1+Assumptions!D35)^(4-1)+Assumptions!D30*(1+Assumptions!D36)^(4-1)))/(((Assumptions!D24*(Assumptions!D10*(1+Assumptions!D26)^(4-1)))*(Assumptions!D11+Assumptions!D12))*(1-Assumptions!D20)))</f>
        <v/>
      </c>
      <c r="M20" s="10">
        <f>IF((((Assumptions!E24*(Assumptions!E10*(1+Assumptions!E26)^(4-1)))*(Assumptions!E11+Assumptions!E12))*(1-Assumptions!E20))=0,0,(((((Assumptions!E24*(Assumptions!E10*(1+Assumptions!E26)^(4-1)))*(Assumptions!E11+Assumptions!E12))*(1-Assumptions!E20))-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)-(Assumptions!E24*(Assumptions!E28+(Assumptions!E29-Assumptions!E28)*(4-1)/4)*Assumptions!E27)-((Assumptions!E31+Assumptions!E32+Assumptions!E33+Assumptions!E34)*(1+Assumptions!E35)^(4-1)+Assumptions!E30*(1+Assumptions!E36)^(4-1)))/(((Assumptions!E24*(Assumptions!E10*(1+Assumptions!E26)^(4-1)))*(Assumptions!E11+Assumptions!E12))*(1-Assumptions!E20)))</f>
        <v/>
      </c>
      <c r="N20" s="24">
        <f>IF((((Assumptions!C25*(Assumptions!C10*(1+Assumptions!C26)^(5-1)))*(Assumptions!C11+Assumptions!C12))*(1-Assumptions!C20))=0,0,(((((Assumptions!C25*(Assumptions!C10*(1+Assumptions!C26)^(5-1)))*(Assumptions!C11+Assumptions!C12))*(1-Assumptions!C20))-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)-(Assumptions!C25*(Assumptions!C28+(Assumptions!C29-Assumptions!C28)*(5-1)/4)*Assumptions!C27)-((Assumptions!C31+Assumptions!C32+Assumptions!C33+Assumptions!C34)*(1+Assumptions!C35)^(5-1)+Assumptions!C30*(1+Assumptions!C36)^(5-1)))/(((Assumptions!C25*(Assumptions!C10*(1+Assumptions!C26)^(5-1)))*(Assumptions!C11+Assumptions!C12))*(1-Assumptions!C20)))</f>
        <v/>
      </c>
      <c r="O20" s="25">
        <f>IF((((Assumptions!D25*(Assumptions!D10*(1+Assumptions!D26)^(5-1)))*(Assumptions!D11+Assumptions!D12))*(1-Assumptions!D20))=0,0,(((((Assumptions!D25*(Assumptions!D10*(1+Assumptions!D26)^(5-1)))*(Assumptions!D11+Assumptions!D12))*(1-Assumptions!D20))-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)-(Assumptions!D25*(Assumptions!D28+(Assumptions!D29-Assumptions!D28)*(5-1)/4)*Assumptions!D27)-((Assumptions!D31+Assumptions!D32+Assumptions!D33+Assumptions!D34)*(1+Assumptions!D35)^(5-1)+Assumptions!D30*(1+Assumptions!D36)^(5-1)))/(((Assumptions!D25*(Assumptions!D10*(1+Assumptions!D26)^(5-1)))*(Assumptions!D11+Assumptions!D12))*(1-Assumptions!D20)))</f>
        <v/>
      </c>
      <c r="P20" s="10">
        <f>IF((((Assumptions!E25*(Assumptions!E10*(1+Assumptions!E26)^(5-1)))*(Assumptions!E11+Assumptions!E12))*(1-Assumptions!E20))=0,0,(((((Assumptions!E25*(Assumptions!E10*(1+Assumptions!E26)^(5-1)))*(Assumptions!E11+Assumptions!E12))*(1-Assumptions!E20))-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)-(Assumptions!E25*(Assumptions!E28+(Assumptions!E29-Assumptions!E28)*(5-1)/4)*Assumptions!E27)-((Assumptions!E31+Assumptions!E32+Assumptions!E33+Assumptions!E34)*(1+Assumptions!E35)^(5-1)+Assumptions!E30*(1+Assumptions!E36)^(5-1)))/(((Assumptions!E25*(Assumptions!E10*(1+Assumptions!E26)^(5-1)))*(Assumptions!E11+Assumptions!E12))*(1-Assumptions!E20)))</f>
        <v/>
      </c>
    </row>
    <row r="21">
      <c r="A21" s="17" t="inlineStr">
        <is>
          <t>Platform revenue per booking ($)</t>
        </is>
      </c>
      <c r="B21" s="21">
        <f>(((Assumptions!C21*(Assumptions!C10*(1+Assumptions!C26)^(1-1)))*(Assumptions!C11+Assumptions!C12))*(1-Assumptions!C20))/Assumptions!C21</f>
        <v/>
      </c>
      <c r="C21" s="22">
        <f>(((Assumptions!D21*(Assumptions!D10*(1+Assumptions!D26)^(1-1)))*(Assumptions!D11+Assumptions!D12))*(1-Assumptions!D20))/Assumptions!D21</f>
        <v/>
      </c>
      <c r="D21" s="23">
        <f>(((Assumptions!E21*(Assumptions!E10*(1+Assumptions!E26)^(1-1)))*(Assumptions!E11+Assumptions!E12))*(1-Assumptions!E20))/Assumptions!E21</f>
        <v/>
      </c>
      <c r="E21" s="21">
        <f>(((Assumptions!C22*(Assumptions!C10*(1+Assumptions!C26)^(2-1)))*(Assumptions!C11+Assumptions!C12))*(1-Assumptions!C20))/Assumptions!C22</f>
        <v/>
      </c>
      <c r="F21" s="22">
        <f>(((Assumptions!D22*(Assumptions!D10*(1+Assumptions!D26)^(2-1)))*(Assumptions!D11+Assumptions!D12))*(1-Assumptions!D20))/Assumptions!D22</f>
        <v/>
      </c>
      <c r="G21" s="23">
        <f>(((Assumptions!E22*(Assumptions!E10*(1+Assumptions!E26)^(2-1)))*(Assumptions!E11+Assumptions!E12))*(1-Assumptions!E20))/Assumptions!E22</f>
        <v/>
      </c>
      <c r="H21" s="21">
        <f>(((Assumptions!C23*(Assumptions!C10*(1+Assumptions!C26)^(3-1)))*(Assumptions!C11+Assumptions!C12))*(1-Assumptions!C20))/Assumptions!C23</f>
        <v/>
      </c>
      <c r="I21" s="22">
        <f>(((Assumptions!D23*(Assumptions!D10*(1+Assumptions!D26)^(3-1)))*(Assumptions!D11+Assumptions!D12))*(1-Assumptions!D20))/Assumptions!D23</f>
        <v/>
      </c>
      <c r="J21" s="23">
        <f>(((Assumptions!E23*(Assumptions!E10*(1+Assumptions!E26)^(3-1)))*(Assumptions!E11+Assumptions!E12))*(1-Assumptions!E20))/Assumptions!E23</f>
        <v/>
      </c>
      <c r="K21" s="21">
        <f>(((Assumptions!C24*(Assumptions!C10*(1+Assumptions!C26)^(4-1)))*(Assumptions!C11+Assumptions!C12))*(1-Assumptions!C20))/Assumptions!C24</f>
        <v/>
      </c>
      <c r="L21" s="22">
        <f>(((Assumptions!D24*(Assumptions!D10*(1+Assumptions!D26)^(4-1)))*(Assumptions!D11+Assumptions!D12))*(1-Assumptions!D20))/Assumptions!D24</f>
        <v/>
      </c>
      <c r="M21" s="23">
        <f>(((Assumptions!E24*(Assumptions!E10*(1+Assumptions!E26)^(4-1)))*(Assumptions!E11+Assumptions!E12))*(1-Assumptions!E20))/Assumptions!E24</f>
        <v/>
      </c>
      <c r="N21" s="21">
        <f>(((Assumptions!C25*(Assumptions!C10*(1+Assumptions!C26)^(5-1)))*(Assumptions!C11+Assumptions!C12))*(1-Assumptions!C20))/Assumptions!C25</f>
        <v/>
      </c>
      <c r="O21" s="22">
        <f>(((Assumptions!D25*(Assumptions!D10*(1+Assumptions!D26)^(5-1)))*(Assumptions!D11+Assumptions!D12))*(1-Assumptions!D20))/Assumptions!D25</f>
        <v/>
      </c>
      <c r="P21" s="23">
        <f>(((Assumptions!E25*(Assumptions!E10*(1+Assumptions!E26)^(5-1)))*(Assumptions!E11+Assumptions!E12))*(1-Assumptions!E20))/Assumptions!E25</f>
        <v/>
      </c>
    </row>
    <row r="22">
      <c r="A22" s="17" t="inlineStr">
        <is>
          <t>Contribution after CAC per booking ($)</t>
        </is>
      </c>
      <c r="B22" s="21">
        <f>(((((Assumptions!C21*(Assumptions!C10*(1+Assumptions!C26)^(1-1)))*(Assumptions!C11+Assumptions!C12))*(1-Assumptions!C20))-((IF(Assumptions!C17=1,(((Assumptions!C21*(Assumptions!C10*(1+Assumptions!C26)^(1-1)))*(Assumptions!C11+Assumptions!C12))*(1-Assumptions!C20))*Assumptions!C15+Assumptions!C21*Assumptions!C16,(Assumptions!C21*(Assumptions!C10*(1+Assumptions!C26)^(1-1)))*Assumptions!C15+Assumptions!C21*Assumptions!C16))+((Assumptions!C21*(Assumptions!C10*(1+Assumptions!C26)^(1-1)))*Assumptions!C18)+(Assumptions!C21*Assumptions!C19)))-(Assumptions!C21*(Assumptions!C28+(Assumptions!C29-Assumptions!C28)*(1-1)/4)*Assumptions!C27))/Assumptions!C21</f>
        <v/>
      </c>
      <c r="C22" s="22">
        <f>(((((Assumptions!D21*(Assumptions!D10*(1+Assumptions!D26)^(1-1)))*(Assumptions!D11+Assumptions!D12))*(1-Assumptions!D20))-((IF(Assumptions!D17=1,(((Assumptions!D21*(Assumptions!D10*(1+Assumptions!D26)^(1-1)))*(Assumptions!D11+Assumptions!D12))*(1-Assumptions!D20))*Assumptions!D15+Assumptions!D21*Assumptions!D16,(Assumptions!D21*(Assumptions!D10*(1+Assumptions!D26)^(1-1)))*Assumptions!D15+Assumptions!D21*Assumptions!D16))+((Assumptions!D21*(Assumptions!D10*(1+Assumptions!D26)^(1-1)))*Assumptions!D18)+(Assumptions!D21*Assumptions!D19)))-(Assumptions!D21*(Assumptions!D28+(Assumptions!D29-Assumptions!D28)*(1-1)/4)*Assumptions!D27))/Assumptions!D21</f>
        <v/>
      </c>
      <c r="D22" s="23">
        <f>(((((Assumptions!E21*(Assumptions!E10*(1+Assumptions!E26)^(1-1)))*(Assumptions!E11+Assumptions!E12))*(1-Assumptions!E20))-((IF(Assumptions!E17=1,(((Assumptions!E21*(Assumptions!E10*(1+Assumptions!E26)^(1-1)))*(Assumptions!E11+Assumptions!E12))*(1-Assumptions!E20))*Assumptions!E15+Assumptions!E21*Assumptions!E16,(Assumptions!E21*(Assumptions!E10*(1+Assumptions!E26)^(1-1)))*Assumptions!E15+Assumptions!E21*Assumptions!E16))+((Assumptions!E21*(Assumptions!E10*(1+Assumptions!E26)^(1-1)))*Assumptions!E18)+(Assumptions!E21*Assumptions!E19)))-(Assumptions!E21*(Assumptions!E28+(Assumptions!E29-Assumptions!E28)*(1-1)/4)*Assumptions!E27))/Assumptions!E21</f>
        <v/>
      </c>
      <c r="E22" s="21">
        <f>(((((Assumptions!C22*(Assumptions!C10*(1+Assumptions!C26)^(2-1)))*(Assumptions!C11+Assumptions!C12))*(1-Assumptions!C20))-((IF(Assumptions!C17=1,(((Assumptions!C22*(Assumptions!C10*(1+Assumptions!C26)^(2-1)))*(Assumptions!C11+Assumptions!C12))*(1-Assumptions!C20))*Assumptions!C15+Assumptions!C22*Assumptions!C16,(Assumptions!C22*(Assumptions!C10*(1+Assumptions!C26)^(2-1)))*Assumptions!C15+Assumptions!C22*Assumptions!C16))+((Assumptions!C22*(Assumptions!C10*(1+Assumptions!C26)^(2-1)))*Assumptions!C18)+(Assumptions!C22*Assumptions!C19)))-(Assumptions!C22*(Assumptions!C28+(Assumptions!C29-Assumptions!C28)*(2-1)/4)*Assumptions!C27))/Assumptions!C22</f>
        <v/>
      </c>
      <c r="F22" s="22">
        <f>(((((Assumptions!D22*(Assumptions!D10*(1+Assumptions!D26)^(2-1)))*(Assumptions!D11+Assumptions!D12))*(1-Assumptions!D20))-((IF(Assumptions!D17=1,(((Assumptions!D22*(Assumptions!D10*(1+Assumptions!D26)^(2-1)))*(Assumptions!D11+Assumptions!D12))*(1-Assumptions!D20))*Assumptions!D15+Assumptions!D22*Assumptions!D16,(Assumptions!D22*(Assumptions!D10*(1+Assumptions!D26)^(2-1)))*Assumptions!D15+Assumptions!D22*Assumptions!D16))+((Assumptions!D22*(Assumptions!D10*(1+Assumptions!D26)^(2-1)))*Assumptions!D18)+(Assumptions!D22*Assumptions!D19)))-(Assumptions!D22*(Assumptions!D28+(Assumptions!D29-Assumptions!D28)*(2-1)/4)*Assumptions!D27))/Assumptions!D22</f>
        <v/>
      </c>
      <c r="G22" s="23">
        <f>(((((Assumptions!E22*(Assumptions!E10*(1+Assumptions!E26)^(2-1)))*(Assumptions!E11+Assumptions!E12))*(1-Assumptions!E20))-((IF(Assumptions!E17=1,(((Assumptions!E22*(Assumptions!E10*(1+Assumptions!E26)^(2-1)))*(Assumptions!E11+Assumptions!E12))*(1-Assumptions!E20))*Assumptions!E15+Assumptions!E22*Assumptions!E16,(Assumptions!E22*(Assumptions!E10*(1+Assumptions!E26)^(2-1)))*Assumptions!E15+Assumptions!E22*Assumptions!E16))+((Assumptions!E22*(Assumptions!E10*(1+Assumptions!E26)^(2-1)))*Assumptions!E18)+(Assumptions!E22*Assumptions!E19)))-(Assumptions!E22*(Assumptions!E28+(Assumptions!E29-Assumptions!E28)*(2-1)/4)*Assumptions!E27))/Assumptions!E22</f>
        <v/>
      </c>
      <c r="H22" s="21">
        <f>(((((Assumptions!C23*(Assumptions!C10*(1+Assumptions!C26)^(3-1)))*(Assumptions!C11+Assumptions!C12))*(1-Assumptions!C20))-((IF(Assumptions!C17=1,(((Assumptions!C23*(Assumptions!C10*(1+Assumptions!C26)^(3-1)))*(Assumptions!C11+Assumptions!C12))*(1-Assumptions!C20))*Assumptions!C15+Assumptions!C23*Assumptions!C16,(Assumptions!C23*(Assumptions!C10*(1+Assumptions!C26)^(3-1)))*Assumptions!C15+Assumptions!C23*Assumptions!C16))+((Assumptions!C23*(Assumptions!C10*(1+Assumptions!C26)^(3-1)))*Assumptions!C18)+(Assumptions!C23*Assumptions!C19)))-(Assumptions!C23*(Assumptions!C28+(Assumptions!C29-Assumptions!C28)*(3-1)/4)*Assumptions!C27))/Assumptions!C23</f>
        <v/>
      </c>
      <c r="I22" s="22">
        <f>(((((Assumptions!D23*(Assumptions!D10*(1+Assumptions!D26)^(3-1)))*(Assumptions!D11+Assumptions!D12))*(1-Assumptions!D20))-((IF(Assumptions!D17=1,(((Assumptions!D23*(Assumptions!D10*(1+Assumptions!D26)^(3-1)))*(Assumptions!D11+Assumptions!D12))*(1-Assumptions!D20))*Assumptions!D15+Assumptions!D23*Assumptions!D16,(Assumptions!D23*(Assumptions!D10*(1+Assumptions!D26)^(3-1)))*Assumptions!D15+Assumptions!D23*Assumptions!D16))+((Assumptions!D23*(Assumptions!D10*(1+Assumptions!D26)^(3-1)))*Assumptions!D18)+(Assumptions!D23*Assumptions!D19)))-(Assumptions!D23*(Assumptions!D28+(Assumptions!D29-Assumptions!D28)*(3-1)/4)*Assumptions!D27))/Assumptions!D23</f>
        <v/>
      </c>
      <c r="J22" s="23">
        <f>(((((Assumptions!E23*(Assumptions!E10*(1+Assumptions!E26)^(3-1)))*(Assumptions!E11+Assumptions!E12))*(1-Assumptions!E20))-((IF(Assumptions!E17=1,(((Assumptions!E23*(Assumptions!E10*(1+Assumptions!E26)^(3-1)))*(Assumptions!E11+Assumptions!E12))*(1-Assumptions!E20))*Assumptions!E15+Assumptions!E23*Assumptions!E16,(Assumptions!E23*(Assumptions!E10*(1+Assumptions!E26)^(3-1)))*Assumptions!E15+Assumptions!E23*Assumptions!E16))+((Assumptions!E23*(Assumptions!E10*(1+Assumptions!E26)^(3-1)))*Assumptions!E18)+(Assumptions!E23*Assumptions!E19)))-(Assumptions!E23*(Assumptions!E28+(Assumptions!E29-Assumptions!E28)*(3-1)/4)*Assumptions!E27))/Assumptions!E23</f>
        <v/>
      </c>
      <c r="K22" s="21">
        <f>(((((Assumptions!C24*(Assumptions!C10*(1+Assumptions!C26)^(4-1)))*(Assumptions!C11+Assumptions!C12))*(1-Assumptions!C20))-((IF(Assumptions!C17=1,(((Assumptions!C24*(Assumptions!C10*(1+Assumptions!C26)^(4-1)))*(Assumptions!C11+Assumptions!C12))*(1-Assumptions!C20))*Assumptions!C15+Assumptions!C24*Assumptions!C16,(Assumptions!C24*(Assumptions!C10*(1+Assumptions!C26)^(4-1)))*Assumptions!C15+Assumptions!C24*Assumptions!C16))+((Assumptions!C24*(Assumptions!C10*(1+Assumptions!C26)^(4-1)))*Assumptions!C18)+(Assumptions!C24*Assumptions!C19)))-(Assumptions!C24*(Assumptions!C28+(Assumptions!C29-Assumptions!C28)*(4-1)/4)*Assumptions!C27))/Assumptions!C24</f>
        <v/>
      </c>
      <c r="L22" s="22">
        <f>(((((Assumptions!D24*(Assumptions!D10*(1+Assumptions!D26)^(4-1)))*(Assumptions!D11+Assumptions!D12))*(1-Assumptions!D20))-((IF(Assumptions!D17=1,(((Assumptions!D24*(Assumptions!D10*(1+Assumptions!D26)^(4-1)))*(Assumptions!D11+Assumptions!D12))*(1-Assumptions!D20))*Assumptions!D15+Assumptions!D24*Assumptions!D16,(Assumptions!D24*(Assumptions!D10*(1+Assumptions!D26)^(4-1)))*Assumptions!D15+Assumptions!D24*Assumptions!D16))+((Assumptions!D24*(Assumptions!D10*(1+Assumptions!D26)^(4-1)))*Assumptions!D18)+(Assumptions!D24*Assumptions!D19)))-(Assumptions!D24*(Assumptions!D28+(Assumptions!D29-Assumptions!D28)*(4-1)/4)*Assumptions!D27))/Assumptions!D24</f>
        <v/>
      </c>
      <c r="M22" s="23">
        <f>(((((Assumptions!E24*(Assumptions!E10*(1+Assumptions!E26)^(4-1)))*(Assumptions!E11+Assumptions!E12))*(1-Assumptions!E20))-((IF(Assumptions!E17=1,(((Assumptions!E24*(Assumptions!E10*(1+Assumptions!E26)^(4-1)))*(Assumptions!E11+Assumptions!E12))*(1-Assumptions!E20))*Assumptions!E15+Assumptions!E24*Assumptions!E16,(Assumptions!E24*(Assumptions!E10*(1+Assumptions!E26)^(4-1)))*Assumptions!E15+Assumptions!E24*Assumptions!E16))+((Assumptions!E24*(Assumptions!E10*(1+Assumptions!E26)^(4-1)))*Assumptions!E18)+(Assumptions!E24*Assumptions!E19)))-(Assumptions!E24*(Assumptions!E28+(Assumptions!E29-Assumptions!E28)*(4-1)/4)*Assumptions!E27))/Assumptions!E24</f>
        <v/>
      </c>
      <c r="N22" s="21">
        <f>(((((Assumptions!C25*(Assumptions!C10*(1+Assumptions!C26)^(5-1)))*(Assumptions!C11+Assumptions!C12))*(1-Assumptions!C20))-((IF(Assumptions!C17=1,(((Assumptions!C25*(Assumptions!C10*(1+Assumptions!C26)^(5-1)))*(Assumptions!C11+Assumptions!C12))*(1-Assumptions!C20))*Assumptions!C15+Assumptions!C25*Assumptions!C16,(Assumptions!C25*(Assumptions!C10*(1+Assumptions!C26)^(5-1)))*Assumptions!C15+Assumptions!C25*Assumptions!C16))+((Assumptions!C25*(Assumptions!C10*(1+Assumptions!C26)^(5-1)))*Assumptions!C18)+(Assumptions!C25*Assumptions!C19)))-(Assumptions!C25*(Assumptions!C28+(Assumptions!C29-Assumptions!C28)*(5-1)/4)*Assumptions!C27))/Assumptions!C25</f>
        <v/>
      </c>
      <c r="O22" s="22">
        <f>(((((Assumptions!D25*(Assumptions!D10*(1+Assumptions!D26)^(5-1)))*(Assumptions!D11+Assumptions!D12))*(1-Assumptions!D20))-((IF(Assumptions!D17=1,(((Assumptions!D25*(Assumptions!D10*(1+Assumptions!D26)^(5-1)))*(Assumptions!D11+Assumptions!D12))*(1-Assumptions!D20))*Assumptions!D15+Assumptions!D25*Assumptions!D16,(Assumptions!D25*(Assumptions!D10*(1+Assumptions!D26)^(5-1)))*Assumptions!D15+Assumptions!D25*Assumptions!D16))+((Assumptions!D25*(Assumptions!D10*(1+Assumptions!D26)^(5-1)))*Assumptions!D18)+(Assumptions!D25*Assumptions!D19)))-(Assumptions!D25*(Assumptions!D28+(Assumptions!D29-Assumptions!D28)*(5-1)/4)*Assumptions!D27))/Assumptions!D25</f>
        <v/>
      </c>
      <c r="P22" s="23">
        <f>(((((Assumptions!E25*(Assumptions!E10*(1+Assumptions!E26)^(5-1)))*(Assumptions!E11+Assumptions!E12))*(1-Assumptions!E20))-((IF(Assumptions!E17=1,(((Assumptions!E25*(Assumptions!E10*(1+Assumptions!E26)^(5-1)))*(Assumptions!E11+Assumptions!E12))*(1-Assumptions!E20))*Assumptions!E15+Assumptions!E25*Assumptions!E16,(Assumptions!E25*(Assumptions!E10*(1+Assumptions!E26)^(5-1)))*Assumptions!E15+Assumptions!E25*Assumptions!E16))+((Assumptions!E25*(Assumptions!E10*(1+Assumptions!E26)^(5-1)))*Assumptions!E18)+(Assumptions!E25*Assumptions!E19)))-(Assumptions!E25*(Assumptions!E28+(Assumptions!E29-Assumptions!E28)*(5-1)/4)*Assumptions!E27))/Assumptions!E25</f>
        <v/>
      </c>
    </row>
    <row r="23"/>
    <row r="24">
      <c r="A24" s="26" t="inlineStr">
        <is>
          <t>SELECTED SCENARIO SUMMARY (Assumptions!C5)</t>
        </is>
      </c>
    </row>
    <row r="25">
      <c r="A25" t="inlineStr">
        <is>
          <t>Active scenario</t>
        </is>
      </c>
      <c r="B25" s="12">
        <f>Assumptions!C5</f>
        <v/>
      </c>
    </row>
    <row r="26">
      <c r="A26" s="5" t="inlineStr">
        <is>
          <t>Year</t>
        </is>
      </c>
      <c r="B26" s="5" t="inlineStr">
        <is>
          <t>Bookings</t>
        </is>
      </c>
      <c r="C26" s="5" t="inlineStr">
        <is>
          <t>GMV</t>
        </is>
      </c>
      <c r="D26" s="5" t="inlineStr">
        <is>
          <t>Revenue (after drag)</t>
        </is>
      </c>
      <c r="E26" s="5" t="inlineStr">
        <is>
          <t>Net profit</t>
        </is>
      </c>
    </row>
    <row r="27">
      <c r="A27" t="n">
        <v>1</v>
      </c>
      <c r="B27" s="20">
        <f>IF($B$25="Conservative",B5,IF($B$25="Upside",D5,C5))</f>
        <v/>
      </c>
      <c r="C27" s="23">
        <f>IF($B$25="Conservative",B7,IF($B$25="Upside",D7,C7))</f>
        <v/>
      </c>
      <c r="D27" s="23">
        <f>IF($B$25="Conservative",B10,IF($B$25="Upside",D10,C10))</f>
        <v/>
      </c>
      <c r="E27" s="23">
        <f>IF($B$25="Conservative",B19,IF($B$25="Upside",D19,C19))</f>
        <v/>
      </c>
    </row>
    <row r="28">
      <c r="A28" t="n">
        <v>2</v>
      </c>
      <c r="B28" s="20">
        <f>IF($B$25="Conservative",E5,IF($B$25="Upside",G5,F5))</f>
        <v/>
      </c>
      <c r="C28" s="23">
        <f>IF($B$25="Conservative",E7,IF($B$25="Upside",G7,F7))</f>
        <v/>
      </c>
      <c r="D28" s="23">
        <f>IF($B$25="Conservative",E10,IF($B$25="Upside",G10,F10))</f>
        <v/>
      </c>
      <c r="E28" s="23">
        <f>IF($B$25="Conservative",E19,IF($B$25="Upside",G19,F19))</f>
        <v/>
      </c>
    </row>
    <row r="29">
      <c r="A29" t="n">
        <v>3</v>
      </c>
      <c r="B29" s="20">
        <f>IF($B$25="Conservative",H5,IF($B$25="Upside",J5,I5))</f>
        <v/>
      </c>
      <c r="C29" s="23">
        <f>IF($B$25="Conservative",H7,IF($B$25="Upside",J7,I7))</f>
        <v/>
      </c>
      <c r="D29" s="23">
        <f>IF($B$25="Conservative",H10,IF($B$25="Upside",J10,I10))</f>
        <v/>
      </c>
      <c r="E29" s="23">
        <f>IF($B$25="Conservative",H19,IF($B$25="Upside",J19,I19))</f>
        <v/>
      </c>
    </row>
    <row r="30">
      <c r="A30" t="n">
        <v>4</v>
      </c>
      <c r="B30" s="20">
        <f>IF($B$25="Conservative",K5,IF($B$25="Upside",M5,L5))</f>
        <v/>
      </c>
      <c r="C30" s="23">
        <f>IF($B$25="Conservative",K7,IF($B$25="Upside",M7,L7))</f>
        <v/>
      </c>
      <c r="D30" s="23">
        <f>IF($B$25="Conservative",K10,IF($B$25="Upside",M10,L10))</f>
        <v/>
      </c>
      <c r="E30" s="23">
        <f>IF($B$25="Conservative",K19,IF($B$25="Upside",M19,L19))</f>
        <v/>
      </c>
    </row>
    <row r="31">
      <c r="A31" t="n">
        <v>5</v>
      </c>
      <c r="B31" s="20">
        <f>IF($B$25="Conservative",N5,IF($B$25="Upside",P5,O5))</f>
        <v/>
      </c>
      <c r="C31" s="23">
        <f>IF($B$25="Conservative",N7,IF($B$25="Upside",P7,O7))</f>
        <v/>
      </c>
      <c r="D31" s="23">
        <f>IF($B$25="Conservative",N10,IF($B$25="Upside",P10,O10))</f>
        <v/>
      </c>
      <c r="E31" s="23">
        <f>IF($B$25="Conservative",N19,IF($B$25="Upside",P19,O19))</f>
        <v/>
      </c>
    </row>
    <row r="32"/>
    <row r="33">
      <c r="A33" t="inlineStr">
        <is>
          <t>Operator payout ~(1−take)×GMV excluded from GCCN costs (marketplace). Y1 OTA share = 0 in Base.</t>
        </is>
      </c>
    </row>
    <row r="34">
      <c r="A34" t="inlineStr">
        <is>
          <t>Point estimates; BUSINESS_PLAN_5YR.md states sensitivity ranges around Base Y1 and Y5.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4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8" customWidth="1" min="9" max="9"/>
    <col width="48" customWidth="1" min="10" max="10"/>
    <col width="48" customWidth="1" min="11" max="11"/>
    <col width="10" customWidth="1" min="12" max="12"/>
  </cols>
  <sheetData>
    <row r="1">
      <c r="A1" s="3" t="inlineStr">
        <is>
          <t>GCCN Year 1 Monthly — Seasonality</t>
        </is>
      </c>
    </row>
    <row r="2">
      <c r="A2" t="inlineStr">
        <is>
          <t>Weights ASSUMPTION shaped by sourced ~70% lodging tax Apr–Sep. Edit yellow; must sum 100%.</t>
        </is>
      </c>
    </row>
    <row r="3"/>
    <row r="4">
      <c r="A4" s="5" t="inlineStr">
        <is>
          <t>Month</t>
        </is>
      </c>
      <c r="B4" s="5" t="inlineStr">
        <is>
          <t>Season_Weight (INPUT)</t>
        </is>
      </c>
      <c r="C4" s="5" t="inlineStr">
        <is>
          <t>Cons Bookings</t>
        </is>
      </c>
      <c r="D4" s="5" t="inlineStr">
        <is>
          <t>Base Bookings</t>
        </is>
      </c>
      <c r="E4" s="5" t="inlineStr">
        <is>
          <t>Upside Bookings</t>
        </is>
      </c>
      <c r="F4" s="5" t="inlineStr">
        <is>
          <t>Cons GMV</t>
        </is>
      </c>
      <c r="G4" s="5" t="inlineStr">
        <is>
          <t>Base GMV</t>
        </is>
      </c>
      <c r="H4" s="5" t="inlineStr">
        <is>
          <t>Upside GMV</t>
        </is>
      </c>
      <c r="I4" s="5" t="inlineStr">
        <is>
          <t>Cons Plat. Rev*</t>
        </is>
      </c>
      <c r="J4" s="5" t="inlineStr">
        <is>
          <t>Base Plat. Rev*</t>
        </is>
      </c>
      <c r="K4" s="5" t="inlineStr">
        <is>
          <t>Upside Plat. Rev*</t>
        </is>
      </c>
      <c r="L4" s="5" t="inlineStr">
        <is>
          <t>Notes</t>
        </is>
      </c>
    </row>
    <row r="5">
      <c r="A5" s="17" t="inlineStr">
        <is>
          <t>Jan</t>
        </is>
      </c>
      <c r="B5" s="8" t="n">
        <v>0.03</v>
      </c>
      <c r="C5" s="27">
        <f>Assumptions!C21*B5</f>
        <v/>
      </c>
      <c r="D5" s="27">
        <f>Assumptions!D21*B5</f>
        <v/>
      </c>
      <c r="E5" s="27">
        <f>Assumptions!E21*B5</f>
        <v/>
      </c>
      <c r="F5" s="23">
        <f>C5*Assumptions!C10</f>
        <v/>
      </c>
      <c r="G5" s="23">
        <f>D5*Assumptions!D10</f>
        <v/>
      </c>
      <c r="H5" s="23">
        <f>E5*Assumptions!E10</f>
        <v/>
      </c>
      <c r="I5" s="23">
        <f>F5*(Assumptions!C11+Assumptions!C12)*(1-Assumptions!C20)</f>
        <v/>
      </c>
      <c r="J5" s="23">
        <f>G5*(Assumptions!D11+Assumptions!D12)*(1-Assumptions!D20)</f>
        <v/>
      </c>
      <c r="K5" s="23">
        <f>H5*(Assumptions!E11+Assumptions!E12)*(1-Assumptions!E20)</f>
        <v/>
      </c>
      <c r="L5" t="inlineStr">
        <is>
          <t>Trough</t>
        </is>
      </c>
    </row>
    <row r="6">
      <c r="A6" s="17" t="inlineStr">
        <is>
          <t>Feb</t>
        </is>
      </c>
      <c r="B6" s="8" t="n">
        <v>0.03</v>
      </c>
      <c r="C6" s="27">
        <f>Assumptions!C21*B6</f>
        <v/>
      </c>
      <c r="D6" s="27">
        <f>Assumptions!D21*B6</f>
        <v/>
      </c>
      <c r="E6" s="27">
        <f>Assumptions!E21*B6</f>
        <v/>
      </c>
      <c r="F6" s="23">
        <f>C6*Assumptions!C10</f>
        <v/>
      </c>
      <c r="G6" s="23">
        <f>D6*Assumptions!D10</f>
        <v/>
      </c>
      <c r="H6" s="23">
        <f>E6*Assumptions!E10</f>
        <v/>
      </c>
      <c r="I6" s="23">
        <f>F6*(Assumptions!C11+Assumptions!C12)*(1-Assumptions!C20)</f>
        <v/>
      </c>
      <c r="J6" s="23">
        <f>G6*(Assumptions!D11+Assumptions!D12)*(1-Assumptions!D20)</f>
        <v/>
      </c>
      <c r="K6" s="23">
        <f>H6*(Assumptions!E11+Assumptions!E12)*(1-Assumptions!E20)</f>
        <v/>
      </c>
      <c r="L6" t="inlineStr">
        <is>
          <t>Trough</t>
        </is>
      </c>
    </row>
    <row r="7">
      <c r="A7" s="17" t="inlineStr">
        <is>
          <t>Mar</t>
        </is>
      </c>
      <c r="B7" s="8" t="n">
        <v>0.06</v>
      </c>
      <c r="C7" s="27">
        <f>Assumptions!C21*B7</f>
        <v/>
      </c>
      <c r="D7" s="27">
        <f>Assumptions!D21*B7</f>
        <v/>
      </c>
      <c r="E7" s="27">
        <f>Assumptions!E21*B7</f>
        <v/>
      </c>
      <c r="F7" s="23">
        <f>C7*Assumptions!C10</f>
        <v/>
      </c>
      <c r="G7" s="23">
        <f>D7*Assumptions!D10</f>
        <v/>
      </c>
      <c r="H7" s="23">
        <f>E7*Assumptions!E10</f>
        <v/>
      </c>
      <c r="I7" s="23">
        <f>F7*(Assumptions!C11+Assumptions!C12)*(1-Assumptions!C20)</f>
        <v/>
      </c>
      <c r="J7" s="23">
        <f>G7*(Assumptions!D11+Assumptions!D12)*(1-Assumptions!D20)</f>
        <v/>
      </c>
      <c r="K7" s="23">
        <f>H7*(Assumptions!E11+Assumptions!E12)*(1-Assumptions!E20)</f>
        <v/>
      </c>
      <c r="L7" t="inlineStr">
        <is>
          <t>Build</t>
        </is>
      </c>
    </row>
    <row r="8">
      <c r="A8" s="17" t="inlineStr">
        <is>
          <t>Apr</t>
        </is>
      </c>
      <c r="B8" s="8" t="n">
        <v>0.08</v>
      </c>
      <c r="C8" s="27">
        <f>Assumptions!C21*B8</f>
        <v/>
      </c>
      <c r="D8" s="27">
        <f>Assumptions!D21*B8</f>
        <v/>
      </c>
      <c r="E8" s="27">
        <f>Assumptions!E21*B8</f>
        <v/>
      </c>
      <c r="F8" s="23">
        <f>C8*Assumptions!C10</f>
        <v/>
      </c>
      <c r="G8" s="23">
        <f>D8*Assumptions!D10</f>
        <v/>
      </c>
      <c r="H8" s="23">
        <f>E8*Assumptions!E10</f>
        <v/>
      </c>
      <c r="I8" s="23">
        <f>F8*(Assumptions!C11+Assumptions!C12)*(1-Assumptions!C20)</f>
        <v/>
      </c>
      <c r="J8" s="23">
        <f>G8*(Assumptions!D11+Assumptions!D12)*(1-Assumptions!D20)</f>
        <v/>
      </c>
      <c r="K8" s="23">
        <f>H8*(Assumptions!E11+Assumptions!E12)*(1-Assumptions!E20)</f>
        <v/>
      </c>
      <c r="L8" t="inlineStr">
        <is>
          <t>Shoulder</t>
        </is>
      </c>
    </row>
    <row r="9">
      <c r="A9" s="17" t="inlineStr">
        <is>
          <t>May</t>
        </is>
      </c>
      <c r="B9" s="8" t="n">
        <v>0.1</v>
      </c>
      <c r="C9" s="27">
        <f>Assumptions!C21*B9</f>
        <v/>
      </c>
      <c r="D9" s="27">
        <f>Assumptions!D21*B9</f>
        <v/>
      </c>
      <c r="E9" s="27">
        <f>Assumptions!E21*B9</f>
        <v/>
      </c>
      <c r="F9" s="23">
        <f>C9*Assumptions!C10</f>
        <v/>
      </c>
      <c r="G9" s="23">
        <f>D9*Assumptions!D10</f>
        <v/>
      </c>
      <c r="H9" s="23">
        <f>E9*Assumptions!E10</f>
        <v/>
      </c>
      <c r="I9" s="23">
        <f>F9*(Assumptions!C11+Assumptions!C12)*(1-Assumptions!C20)</f>
        <v/>
      </c>
      <c r="J9" s="23">
        <f>G9*(Assumptions!D11+Assumptions!D12)*(1-Assumptions!D20)</f>
        <v/>
      </c>
      <c r="K9" s="23">
        <f>H9*(Assumptions!E11+Assumptions!E12)*(1-Assumptions!E20)</f>
        <v/>
      </c>
      <c r="L9" t="inlineStr">
        <is>
          <t>Shoulder</t>
        </is>
      </c>
    </row>
    <row r="10">
      <c r="A10" s="17" t="inlineStr">
        <is>
          <t>Jun</t>
        </is>
      </c>
      <c r="B10" s="8" t="n">
        <v>0.14</v>
      </c>
      <c r="C10" s="27">
        <f>Assumptions!C21*B10</f>
        <v/>
      </c>
      <c r="D10" s="27">
        <f>Assumptions!D21*B10</f>
        <v/>
      </c>
      <c r="E10" s="27">
        <f>Assumptions!E21*B10</f>
        <v/>
      </c>
      <c r="F10" s="23">
        <f>C10*Assumptions!C10</f>
        <v/>
      </c>
      <c r="G10" s="23">
        <f>D10*Assumptions!D10</f>
        <v/>
      </c>
      <c r="H10" s="23">
        <f>E10*Assumptions!E10</f>
        <v/>
      </c>
      <c r="I10" s="23">
        <f>F10*(Assumptions!C11+Assumptions!C12)*(1-Assumptions!C20)</f>
        <v/>
      </c>
      <c r="J10" s="23">
        <f>G10*(Assumptions!D11+Assumptions!D12)*(1-Assumptions!D20)</f>
        <v/>
      </c>
      <c r="K10" s="23">
        <f>H10*(Assumptions!E11+Assumptions!E12)*(1-Assumptions!E20)</f>
        <v/>
      </c>
      <c r="L10" t="inlineStr">
        <is>
          <t>Peak</t>
        </is>
      </c>
    </row>
    <row r="11">
      <c r="A11" s="17" t="inlineStr">
        <is>
          <t>Jul</t>
        </is>
      </c>
      <c r="B11" s="8" t="n">
        <v>0.15</v>
      </c>
      <c r="C11" s="27">
        <f>Assumptions!C21*B11</f>
        <v/>
      </c>
      <c r="D11" s="27">
        <f>Assumptions!D21*B11</f>
        <v/>
      </c>
      <c r="E11" s="27">
        <f>Assumptions!E21*B11</f>
        <v/>
      </c>
      <c r="F11" s="23">
        <f>C11*Assumptions!C10</f>
        <v/>
      </c>
      <c r="G11" s="23">
        <f>D11*Assumptions!D10</f>
        <v/>
      </c>
      <c r="H11" s="23">
        <f>E11*Assumptions!E10</f>
        <v/>
      </c>
      <c r="I11" s="23">
        <f>F11*(Assumptions!C11+Assumptions!C12)*(1-Assumptions!C20)</f>
        <v/>
      </c>
      <c r="J11" s="23">
        <f>G11*(Assumptions!D11+Assumptions!D12)*(1-Assumptions!D20)</f>
        <v/>
      </c>
      <c r="K11" s="23">
        <f>H11*(Assumptions!E11+Assumptions!E12)*(1-Assumptions!E20)</f>
        <v/>
      </c>
      <c r="L11" t="inlineStr">
        <is>
          <t>Peak</t>
        </is>
      </c>
    </row>
    <row r="12">
      <c r="A12" s="17" t="inlineStr">
        <is>
          <t>Aug</t>
        </is>
      </c>
      <c r="B12" s="8" t="n">
        <v>0.14</v>
      </c>
      <c r="C12" s="27">
        <f>Assumptions!C21*B12</f>
        <v/>
      </c>
      <c r="D12" s="27">
        <f>Assumptions!D21*B12</f>
        <v/>
      </c>
      <c r="E12" s="27">
        <f>Assumptions!E21*B12</f>
        <v/>
      </c>
      <c r="F12" s="23">
        <f>C12*Assumptions!C10</f>
        <v/>
      </c>
      <c r="G12" s="23">
        <f>D12*Assumptions!D10</f>
        <v/>
      </c>
      <c r="H12" s="23">
        <f>E12*Assumptions!E10</f>
        <v/>
      </c>
      <c r="I12" s="23">
        <f>F12*(Assumptions!C11+Assumptions!C12)*(1-Assumptions!C20)</f>
        <v/>
      </c>
      <c r="J12" s="23">
        <f>G12*(Assumptions!D11+Assumptions!D12)*(1-Assumptions!D20)</f>
        <v/>
      </c>
      <c r="K12" s="23">
        <f>H12*(Assumptions!E11+Assumptions!E12)*(1-Assumptions!E20)</f>
        <v/>
      </c>
      <c r="L12" t="inlineStr">
        <is>
          <t>Peak</t>
        </is>
      </c>
    </row>
    <row r="13">
      <c r="A13" s="17" t="inlineStr">
        <is>
          <t>Sep</t>
        </is>
      </c>
      <c r="B13" s="8" t="n">
        <v>0.09</v>
      </c>
      <c r="C13" s="27">
        <f>Assumptions!C21*B13</f>
        <v/>
      </c>
      <c r="D13" s="27">
        <f>Assumptions!D21*B13</f>
        <v/>
      </c>
      <c r="E13" s="27">
        <f>Assumptions!E21*B13</f>
        <v/>
      </c>
      <c r="F13" s="23">
        <f>C13*Assumptions!C10</f>
        <v/>
      </c>
      <c r="G13" s="23">
        <f>D13*Assumptions!D10</f>
        <v/>
      </c>
      <c r="H13" s="23">
        <f>E13*Assumptions!E10</f>
        <v/>
      </c>
      <c r="I13" s="23">
        <f>F13*(Assumptions!C11+Assumptions!C12)*(1-Assumptions!C20)</f>
        <v/>
      </c>
      <c r="J13" s="23">
        <f>G13*(Assumptions!D11+Assumptions!D12)*(1-Assumptions!D20)</f>
        <v/>
      </c>
      <c r="K13" s="23">
        <f>H13*(Assumptions!E11+Assumptions!E12)*(1-Assumptions!E20)</f>
        <v/>
      </c>
      <c r="L13" t="inlineStr">
        <is>
          <t>Shoulder</t>
        </is>
      </c>
    </row>
    <row r="14">
      <c r="A14" s="17" t="inlineStr">
        <is>
          <t>Oct</t>
        </is>
      </c>
      <c r="B14" s="8" t="n">
        <v>0.08</v>
      </c>
      <c r="C14" s="27">
        <f>Assumptions!C21*B14</f>
        <v/>
      </c>
      <c r="D14" s="27">
        <f>Assumptions!D21*B14</f>
        <v/>
      </c>
      <c r="E14" s="27">
        <f>Assumptions!E21*B14</f>
        <v/>
      </c>
      <c r="F14" s="23">
        <f>C14*Assumptions!C10</f>
        <v/>
      </c>
      <c r="G14" s="23">
        <f>D14*Assumptions!D10</f>
        <v/>
      </c>
      <c r="H14" s="23">
        <f>E14*Assumptions!E10</f>
        <v/>
      </c>
      <c r="I14" s="23">
        <f>F14*(Assumptions!C11+Assumptions!C12)*(1-Assumptions!C20)</f>
        <v/>
      </c>
      <c r="J14" s="23">
        <f>G14*(Assumptions!D11+Assumptions!D12)*(1-Assumptions!D20)</f>
        <v/>
      </c>
      <c r="K14" s="23">
        <f>H14*(Assumptions!E11+Assumptions!E12)*(1-Assumptions!E20)</f>
        <v/>
      </c>
      <c r="L14" t="inlineStr">
        <is>
          <t>Shoulder</t>
        </is>
      </c>
    </row>
    <row r="15">
      <c r="A15" s="17" t="inlineStr">
        <is>
          <t>Nov</t>
        </is>
      </c>
      <c r="B15" s="8" t="n">
        <v>0.05</v>
      </c>
      <c r="C15" s="27">
        <f>Assumptions!C21*B15</f>
        <v/>
      </c>
      <c r="D15" s="27">
        <f>Assumptions!D21*B15</f>
        <v/>
      </c>
      <c r="E15" s="27">
        <f>Assumptions!E21*B15</f>
        <v/>
      </c>
      <c r="F15" s="23">
        <f>C15*Assumptions!C10</f>
        <v/>
      </c>
      <c r="G15" s="23">
        <f>D15*Assumptions!D10</f>
        <v/>
      </c>
      <c r="H15" s="23">
        <f>E15*Assumptions!E10</f>
        <v/>
      </c>
      <c r="I15" s="23">
        <f>F15*(Assumptions!C11+Assumptions!C12)*(1-Assumptions!C20)</f>
        <v/>
      </c>
      <c r="J15" s="23">
        <f>G15*(Assumptions!D11+Assumptions!D12)*(1-Assumptions!D20)</f>
        <v/>
      </c>
      <c r="K15" s="23">
        <f>H15*(Assumptions!E11+Assumptions!E12)*(1-Assumptions!E20)</f>
        <v/>
      </c>
      <c r="L15" t="inlineStr">
        <is>
          <t>Trough</t>
        </is>
      </c>
    </row>
    <row r="16">
      <c r="A16" s="17" t="inlineStr">
        <is>
          <t>Dec</t>
        </is>
      </c>
      <c r="B16" s="8" t="n">
        <v>0.05</v>
      </c>
      <c r="C16" s="27">
        <f>Assumptions!C21*B16</f>
        <v/>
      </c>
      <c r="D16" s="27">
        <f>Assumptions!D21*B16</f>
        <v/>
      </c>
      <c r="E16" s="27">
        <f>Assumptions!E21*B16</f>
        <v/>
      </c>
      <c r="F16" s="23">
        <f>C16*Assumptions!C10</f>
        <v/>
      </c>
      <c r="G16" s="23">
        <f>D16*Assumptions!D10</f>
        <v/>
      </c>
      <c r="H16" s="23">
        <f>E16*Assumptions!E10</f>
        <v/>
      </c>
      <c r="I16" s="23">
        <f>F16*(Assumptions!C11+Assumptions!C12)*(1-Assumptions!C20)</f>
        <v/>
      </c>
      <c r="J16" s="23">
        <f>G16*(Assumptions!D11+Assumptions!D12)*(1-Assumptions!D20)</f>
        <v/>
      </c>
      <c r="K16" s="23">
        <f>H16*(Assumptions!E11+Assumptions!E12)*(1-Assumptions!E20)</f>
        <v/>
      </c>
      <c r="L16" t="inlineStr">
        <is>
          <t>Trough</t>
        </is>
      </c>
    </row>
    <row r="17">
      <c r="A17" s="2" t="inlineStr">
        <is>
          <t>TOTAL</t>
        </is>
      </c>
      <c r="B17" s="28">
        <f>SUM(B5:B16)</f>
        <v/>
      </c>
      <c r="C17" s="29">
        <f>SUM(C5:C16)</f>
        <v/>
      </c>
      <c r="D17" s="29">
        <f>SUM(D5:D16)</f>
        <v/>
      </c>
      <c r="E17" s="29">
        <f>SUM(E5:E16)</f>
        <v/>
      </c>
      <c r="F17" s="30">
        <f>SUM(F5:F16)</f>
        <v/>
      </c>
      <c r="G17" s="30">
        <f>SUM(G5:G16)</f>
        <v/>
      </c>
      <c r="H17" s="30">
        <f>SUM(H5:H16)</f>
        <v/>
      </c>
      <c r="I17" s="30">
        <f>SUM(I5:I16)</f>
        <v/>
      </c>
      <c r="J17" s="30">
        <f>SUM(J5:J16)</f>
        <v/>
      </c>
      <c r="K17" s="30">
        <f>SUM(K5:K16)</f>
        <v/>
      </c>
    </row>
    <row r="18"/>
    <row r="19">
      <c r="A19" t="inlineStr">
        <is>
          <t>* Platform Rev = GMV × effective take × (1 − weather drag).</t>
        </is>
      </c>
    </row>
    <row r="20">
      <c r="A20" t="inlineStr">
        <is>
          <t>Apr–Sep weight sum:</t>
        </is>
      </c>
      <c r="B20" s="28">
        <f>SUM(B8:B13)</f>
        <v/>
      </c>
      <c r="C20" t="inlineStr">
        <is>
          <t>Near sourced ~70% lodging seasonality (ASSUMPTION for charter shape).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48" customWidth="1" min="3" max="3"/>
    <col width="48" customWidth="1" min="4" max="4"/>
    <col width="23" customWidth="1" min="5" max="5"/>
  </cols>
  <sheetData>
    <row r="1">
      <c r="A1" s="3" t="inlineStr">
        <is>
          <t>GCCN Unit Economics — Per Completed Booking (Y1)</t>
        </is>
      </c>
    </row>
    <row r="2">
      <c r="A2" t="inlineStr">
        <is>
          <t>Contribution after variable COGS and blended paid CAC. Operator receipt is partner-side.</t>
        </is>
      </c>
    </row>
    <row r="3"/>
    <row r="4">
      <c r="A4" s="5" t="inlineStr">
        <is>
          <t>Line item</t>
        </is>
      </c>
      <c r="B4" s="5" t="inlineStr">
        <is>
          <t>Conservative</t>
        </is>
      </c>
      <c r="C4" s="5" t="inlineStr">
        <is>
          <t>Base</t>
        </is>
      </c>
      <c r="D4" s="5" t="inlineStr">
        <is>
          <t>Upside</t>
        </is>
      </c>
      <c r="E4" s="5" t="inlineStr">
        <is>
          <t>Notes</t>
        </is>
      </c>
    </row>
    <row r="5">
      <c r="A5" s="17" t="inlineStr">
        <is>
          <t>AOV</t>
        </is>
      </c>
      <c r="B5" s="23">
        <f>Assumptions!C10</f>
        <v/>
      </c>
      <c r="C5" s="23">
        <f>Assumptions!D10</f>
        <v/>
      </c>
      <c r="D5" s="23">
        <f>Assumptions!E10</f>
        <v/>
      </c>
      <c r="E5" t="inlineStr">
        <is>
          <t>U1</t>
        </is>
      </c>
    </row>
    <row r="6">
      <c r="A6" s="17" t="inlineStr">
        <is>
          <t>Effective take rate</t>
        </is>
      </c>
      <c r="B6" s="10">
        <f>(Assumptions!C11+Assumptions!C12)</f>
        <v/>
      </c>
      <c r="C6" s="10">
        <f>(Assumptions!D11+Assumptions!D12)</f>
        <v/>
      </c>
      <c r="D6" s="10">
        <f>(Assumptions!E11+Assumptions!E12)</f>
        <v/>
      </c>
      <c r="E6" t="inlineStr">
        <is>
          <t>U2+U3</t>
        </is>
      </c>
    </row>
    <row r="7">
      <c r="A7" s="17" t="inlineStr">
        <is>
          <t>Gross take $</t>
        </is>
      </c>
      <c r="B7" s="31">
        <f>(Assumptions!C10*(Assumptions!C11+Assumptions!C12))</f>
        <v/>
      </c>
      <c r="C7" s="31">
        <f>(Assumptions!D10*(Assumptions!D11+Assumptions!D12))</f>
        <v/>
      </c>
      <c r="D7" s="31">
        <f>(Assumptions!E10*(Assumptions!E11+Assumptions!E12))</f>
        <v/>
      </c>
      <c r="E7" t="inlineStr">
        <is>
          <t>AOV×take</t>
        </is>
      </c>
    </row>
    <row r="8">
      <c r="A8" s="17" t="inlineStr">
        <is>
          <t>Weather drag $</t>
        </is>
      </c>
      <c r="B8" s="31">
        <f>((Assumptions!C10*(Assumptions!C11+Assumptions!C12))*Assumptions!C20)</f>
        <v/>
      </c>
      <c r="C8" s="31">
        <f>((Assumptions!D10*(Assumptions!D11+Assumptions!D12))*Assumptions!D20)</f>
        <v/>
      </c>
      <c r="D8" s="31">
        <f>((Assumptions!E10*(Assumptions!E11+Assumptions!E12))*Assumptions!E20)</f>
        <v/>
      </c>
      <c r="E8" t="inlineStr">
        <is>
          <t>gross×U11</t>
        </is>
      </c>
    </row>
    <row r="9">
      <c r="A9" s="17" t="inlineStr">
        <is>
          <t>Net take $ (platform revenue)</t>
        </is>
      </c>
      <c r="B9" s="31">
        <f>((Assumptions!C10*(Assumptions!C11+Assumptions!C12))*(1-Assumptions!C20))</f>
        <v/>
      </c>
      <c r="C9" s="31">
        <f>((Assumptions!D10*(Assumptions!D11+Assumptions!D12))*(1-Assumptions!D20))</f>
        <v/>
      </c>
      <c r="D9" s="31">
        <f>((Assumptions!E10*(Assumptions!E11+Assumptions!E12))*(1-Assumptions!E20))</f>
        <v/>
      </c>
      <c r="E9" t="inlineStr">
        <is>
          <t>primary unit revenue</t>
        </is>
      </c>
    </row>
    <row r="10">
      <c r="A10" s="17" t="inlineStr">
        <is>
          <t>Stripe fees $ (fee-slice)</t>
        </is>
      </c>
      <c r="B10" s="31">
        <f>(IF(Assumptions!C17=1,((Assumptions!C10*(Assumptions!C11+Assumptions!C12))*(1-Assumptions!C20))*Assumptions!C15+Assumptions!C16,Assumptions!C10*Assumptions!C15+Assumptions!C16))</f>
        <v/>
      </c>
      <c r="C10" s="31">
        <f>(IF(Assumptions!D17=1,((Assumptions!D10*(Assumptions!D11+Assumptions!D12))*(1-Assumptions!D20))*Assumptions!D15+Assumptions!D16,Assumptions!D10*Assumptions!D15+Assumptions!D16))</f>
        <v/>
      </c>
      <c r="D10" s="31">
        <f>(IF(Assumptions!E17=1,((Assumptions!E10*(Assumptions!E11+Assumptions!E12))*(1-Assumptions!E20))*Assumptions!E15+Assumptions!E16,Assumptions!E10*Assumptions!E15+Assumptions!E16))</f>
        <v/>
      </c>
      <c r="E10" t="inlineStr">
        <is>
          <t>U8=1 recommended</t>
        </is>
      </c>
    </row>
    <row r="11">
      <c r="A11" s="17" t="inlineStr">
        <is>
          <t>Referral credit $</t>
        </is>
      </c>
      <c r="B11" s="31">
        <f>(Assumptions!C10*Assumptions!C18)</f>
        <v/>
      </c>
      <c r="C11" s="31">
        <f>(Assumptions!D10*Assumptions!D18)</f>
        <v/>
      </c>
      <c r="D11" s="31">
        <f>(Assumptions!E10*Assumptions!E18)</f>
        <v/>
      </c>
      <c r="E11" t="inlineStr">
        <is>
          <t>blended U9</t>
        </is>
      </c>
    </row>
    <row r="12">
      <c r="A12" s="17" t="inlineStr">
        <is>
          <t>SMS/email $</t>
        </is>
      </c>
      <c r="B12" s="31">
        <f>Assumptions!C19</f>
        <v/>
      </c>
      <c r="C12" s="31">
        <f>Assumptions!D19</f>
        <v/>
      </c>
      <c r="D12" s="31">
        <f>Assumptions!E19</f>
        <v/>
      </c>
      <c r="E12" t="inlineStr">
        <is>
          <t>U10</t>
        </is>
      </c>
    </row>
    <row r="13">
      <c r="A13" s="17" t="inlineStr">
        <is>
          <t>Variable COGS $</t>
        </is>
      </c>
      <c r="B13" s="31">
        <f>((IF(Assumptions!C17=1,((Assumptions!C10*(Assumptions!C11+Assumptions!C12))*(1-Assumptions!C20))*Assumptions!C15+Assumptions!C16,Assumptions!C10*Assumptions!C15+Assumptions!C16))+(Assumptions!C10*Assumptions!C18)+Assumptions!C19)</f>
        <v/>
      </c>
      <c r="C13" s="31">
        <f>((IF(Assumptions!D17=1,((Assumptions!D10*(Assumptions!D11+Assumptions!D12))*(1-Assumptions!D20))*Assumptions!D15+Assumptions!D16,Assumptions!D10*Assumptions!D15+Assumptions!D16))+(Assumptions!D10*Assumptions!D18)+Assumptions!D19)</f>
        <v/>
      </c>
      <c r="D13" s="31">
        <f>((IF(Assumptions!E17=1,((Assumptions!E10*(Assumptions!E11+Assumptions!E12))*(1-Assumptions!E20))*Assumptions!E15+Assumptions!E16,Assumptions!E10*Assumptions!E15+Assumptions!E16))+(Assumptions!E10*Assumptions!E18)+Assumptions!E19)</f>
        <v/>
      </c>
      <c r="E13" t="inlineStr">
        <is>
          <t>sum</t>
        </is>
      </c>
    </row>
    <row r="14">
      <c r="A14" s="17" t="inlineStr">
        <is>
          <t>Contribution before CAC $</t>
        </is>
      </c>
      <c r="B14" s="31">
        <f>(((Assumptions!C10*(Assumptions!C11+Assumptions!C12))*(1-Assumptions!C20))-((IF(Assumptions!C17=1,((Assumptions!C10*(Assumptions!C11+Assumptions!C12))*(1-Assumptions!C20))*Assumptions!C15+Assumptions!C16,Assumptions!C10*Assumptions!C15+Assumptions!C16))+(Assumptions!C10*Assumptions!C18)+Assumptions!C19))</f>
        <v/>
      </c>
      <c r="C14" s="31">
        <f>(((Assumptions!D10*(Assumptions!D11+Assumptions!D12))*(1-Assumptions!D20))-((IF(Assumptions!D17=1,((Assumptions!D10*(Assumptions!D11+Assumptions!D12))*(1-Assumptions!D20))*Assumptions!D15+Assumptions!D16,Assumptions!D10*Assumptions!D15+Assumptions!D16))+(Assumptions!D10*Assumptions!D18)+Assumptions!D19))</f>
        <v/>
      </c>
      <c r="D14" s="31">
        <f>(((Assumptions!E10*(Assumptions!E11+Assumptions!E12))*(1-Assumptions!E20))-((IF(Assumptions!E17=1,((Assumptions!E10*(Assumptions!E11+Assumptions!E12))*(1-Assumptions!E20))*Assumptions!E15+Assumptions!E16,Assumptions!E10*Assumptions!E15+Assumptions!E16))+(Assumptions!E10*Assumptions!E18)+Assumptions!E19))</f>
        <v/>
      </c>
      <c r="E14" t="inlineStr">
        <is>
          <t>net−COGS</t>
        </is>
      </c>
    </row>
    <row r="15">
      <c r="A15" s="17" t="inlineStr">
        <is>
          <t>Blended paid CAC $ (Y1)</t>
        </is>
      </c>
      <c r="B15" s="31">
        <f>(Assumptions!C27*Assumptions!C28)</f>
        <v/>
      </c>
      <c r="C15" s="31">
        <f>(Assumptions!D27*Assumptions!D28)</f>
        <v/>
      </c>
      <c r="D15" s="31">
        <f>(Assumptions!E27*Assumptions!E28)</f>
        <v/>
      </c>
      <c r="E15" t="inlineStr">
        <is>
          <t>C1×C2</t>
        </is>
      </c>
    </row>
    <row r="16">
      <c r="A16" s="17" t="inlineStr">
        <is>
          <t>Contribution after blended CAC $</t>
        </is>
      </c>
      <c r="B16" s="31">
        <f>((((Assumptions!C10*(Assumptions!C11+Assumptions!C12))*(1-Assumptions!C20))-((IF(Assumptions!C17=1,((Assumptions!C10*(Assumptions!C11+Assumptions!C12))*(1-Assumptions!C20))*Assumptions!C15+Assumptions!C16,Assumptions!C10*Assumptions!C15+Assumptions!C16))+(Assumptions!C10*Assumptions!C18)+Assumptions!C19))-(Assumptions!C27*Assumptions!C28))</f>
        <v/>
      </c>
      <c r="C16" s="31">
        <f>((((Assumptions!D10*(Assumptions!D11+Assumptions!D12))*(1-Assumptions!D20))-((IF(Assumptions!D17=1,((Assumptions!D10*(Assumptions!D11+Assumptions!D12))*(1-Assumptions!D20))*Assumptions!D15+Assumptions!D16,Assumptions!D10*Assumptions!D15+Assumptions!D16))+(Assumptions!D10*Assumptions!D18)+Assumptions!D19))-(Assumptions!D27*Assumptions!D28))</f>
        <v/>
      </c>
      <c r="D16" s="31">
        <f>((((Assumptions!E10*(Assumptions!E11+Assumptions!E12))*(1-Assumptions!E20))-((IF(Assumptions!E17=1,((Assumptions!E10*(Assumptions!E11+Assumptions!E12))*(1-Assumptions!E20))*Assumptions!E15+Assumptions!E16,Assumptions!E10*Assumptions!E15+Assumptions!E16))+(Assumptions!E10*Assumptions!E18)+Assumptions!E19))-(Assumptions!E27*Assumptions!E28))</f>
        <v/>
      </c>
      <c r="E16" t="inlineStr">
        <is>
          <t>KEY METRIC</t>
        </is>
      </c>
    </row>
    <row r="17">
      <c r="A17" s="17" t="inlineStr">
        <is>
          <t>Deposit at book $</t>
        </is>
      </c>
      <c r="B17" s="31">
        <f>(Assumptions!C10*Assumptions!C14)</f>
        <v/>
      </c>
      <c r="C17" s="31">
        <f>(Assumptions!D10*Assumptions!D14)</f>
        <v/>
      </c>
      <c r="D17" s="31">
        <f>(Assumptions!E10*Assumptions!E14)</f>
        <v/>
      </c>
      <c r="E17" t="inlineStr">
        <is>
          <t>cash U5</t>
        </is>
      </c>
    </row>
    <row r="18">
      <c r="A18" s="17" t="inlineStr">
        <is>
          <t>Implied operator receipt $</t>
        </is>
      </c>
      <c r="B18" s="31">
        <f>(Assumptions!C10*(1-(Assumptions!C11+Assumptions!C12)))</f>
        <v/>
      </c>
      <c r="C18" s="31">
        <f>(Assumptions!D10*(1-(Assumptions!D11+Assumptions!D12)))</f>
        <v/>
      </c>
      <c r="D18" s="31">
        <f>(Assumptions!E10*(1-(Assumptions!E11+Assumptions!E12)))</f>
        <v/>
      </c>
      <c r="E18" t="inlineStr">
        <is>
          <t>partner ~(1−take)×AOV</t>
        </is>
      </c>
    </row>
    <row r="19"/>
    <row r="20">
      <c r="A20" s="2" t="inlineStr">
        <is>
          <t>External fee benchmarks (context)</t>
        </is>
      </c>
    </row>
    <row r="21">
      <c r="A21" t="inlineStr">
        <is>
          <t>FareHarbor typical booking fee</t>
        </is>
      </c>
      <c r="B21" s="32" t="n">
        <v>0.06</v>
      </c>
      <c r="C21" t="inlineStr">
        <is>
          <t>SOURCED ~5-8%, often ~6%</t>
        </is>
      </c>
    </row>
    <row r="22">
      <c r="A22" t="inlineStr">
        <is>
          <t>FareHarbor OTA API fee addl.</t>
        </is>
      </c>
      <c r="B22" s="32" t="n">
        <v>0.02</v>
      </c>
      <c r="C22" t="inlineStr">
        <is>
          <t>SOURCED ~2%</t>
        </is>
      </c>
    </row>
    <row r="23">
      <c r="A23" t="inlineStr">
        <is>
          <t>Viator/GYG typical commission</t>
        </is>
      </c>
      <c r="B23" s="32" t="n">
        <v>0.25</v>
      </c>
      <c r="C23" t="inlineStr">
        <is>
          <t>SOURCED ~20-30%</t>
        </is>
      </c>
    </row>
    <row r="24">
      <c r="A24" t="inlineStr">
        <is>
          <t>GCCN Base effective take</t>
        </is>
      </c>
      <c r="B24" s="28">
        <f>Assumptions!D11+Assumptions!D12</f>
        <v/>
      </c>
      <c r="C24" t="inlineStr">
        <is>
          <t>ASSUMPTION owned Stripe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2026-09-09T15:16:14Z</dcterms:created>
  <dcterms:modified xsi:type="dcterms:W3CDTF">2026-09-09T15:16:14Z</dcterms:modified>
</cp:coreProperties>
</file>